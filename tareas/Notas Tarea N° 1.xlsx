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gduar\Desktop\Academico\Docencia\UAI-AD\2026\tareas\"/>
    </mc:Choice>
  </mc:AlternateContent>
  <xr:revisionPtr revIDLastSave="0" documentId="13_ncr:1_{8E5EBA5C-3C81-4683-9C01-C296FCE32F7F}" xr6:coauthVersionLast="47" xr6:coauthVersionMax="47" xr10:uidLastSave="{00000000-0000-0000-0000-000000000000}"/>
  <bookViews>
    <workbookView xWindow="-28920" yWindow="4335" windowWidth="29040" windowHeight="15720" xr2:uid="{00000000-000D-0000-FFFF-FFFF00000000}"/>
  </bookViews>
  <sheets>
    <sheet name="Notas T1" sheetId="2" r:id="rId1"/>
    <sheet name="Detalle" sheetId="1" r:id="rId2"/>
    <sheet name="OMEGA" sheetId="3" r:id="rId3"/>
  </sheets>
  <definedNames>
    <definedName name="_xlnm._FilterDatabase" localSheetId="0" hidden="1">'Notas T1'!$A$1:$D$30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 i="2" l="1"/>
  <c r="C4" i="1"/>
  <c r="C5" i="1"/>
  <c r="C6" i="1"/>
  <c r="C7" i="1"/>
  <c r="C8" i="1"/>
  <c r="C9" i="1"/>
  <c r="C10" i="1"/>
  <c r="C11" i="1"/>
  <c r="C12" i="1"/>
  <c r="C13" i="1"/>
  <c r="C14" i="1"/>
  <c r="C15" i="1"/>
  <c r="C16" i="1"/>
  <c r="C17" i="1"/>
  <c r="C18" i="1"/>
  <c r="C19" i="1"/>
  <c r="C20" i="1"/>
  <c r="C21" i="1"/>
  <c r="C22" i="1"/>
  <c r="C23" i="1"/>
  <c r="C24" i="1"/>
  <c r="C25" i="1"/>
  <c r="C26" i="1"/>
  <c r="C27" i="1"/>
  <c r="C28" i="1"/>
  <c r="C29" i="1"/>
  <c r="C30" i="1"/>
  <c r="C2" i="1"/>
  <c r="C3" i="1"/>
  <c r="B29" i="1" a="1"/>
  <c r="B29" i="1"/>
  <c r="B23" i="1" a="1"/>
  <c r="B23" i="1" s="1"/>
  <c r="B8" i="1" a="1"/>
  <c r="B8" i="1"/>
  <c r="B27" i="1" a="1"/>
  <c r="B27" i="1" s="1"/>
  <c r="B20" i="1" a="1"/>
  <c r="B20" i="1" s="1"/>
  <c r="B10" i="1" a="1"/>
  <c r="B10" i="1"/>
  <c r="B24" i="1" a="1"/>
  <c r="B24" i="1"/>
  <c r="B25" i="1" a="1"/>
  <c r="B25" i="1"/>
  <c r="B30" i="1" a="1"/>
  <c r="B30" i="1" s="1"/>
  <c r="B9" i="1" a="1"/>
  <c r="B9" i="1" s="1"/>
  <c r="B26" i="1" a="1"/>
  <c r="B26" i="1" s="1"/>
  <c r="B6" i="1" a="1"/>
  <c r="B6" i="1" s="1"/>
  <c r="B19" i="1" a="1"/>
  <c r="B19" i="1" s="1"/>
  <c r="B15" i="1" a="1"/>
  <c r="B15" i="1"/>
  <c r="B5" i="1" a="1"/>
  <c r="B5" i="1"/>
  <c r="B17" i="1" a="1"/>
  <c r="B17" i="1"/>
  <c r="B12" i="1" a="1"/>
  <c r="B12" i="1" s="1"/>
  <c r="B7" i="1" a="1"/>
  <c r="B7" i="1" s="1"/>
  <c r="B3" i="1" a="1"/>
  <c r="B3" i="1"/>
  <c r="B11" i="1" a="1"/>
  <c r="B11" i="1" s="1"/>
  <c r="B18" i="1" a="1"/>
  <c r="B18" i="1"/>
  <c r="B13" i="1" a="1"/>
  <c r="B13" i="1" s="1"/>
  <c r="B14" i="1" a="1"/>
  <c r="B14" i="1"/>
  <c r="B2" i="1" a="1"/>
  <c r="B2" i="1"/>
  <c r="B28" i="1" a="1"/>
  <c r="B28" i="1" s="1"/>
  <c r="B4" i="1" a="1"/>
  <c r="B4" i="1" s="1"/>
  <c r="B21" i="1" a="1"/>
  <c r="B21" i="1"/>
  <c r="B16" i="1" a="1"/>
  <c r="B16" i="1" s="1"/>
  <c r="B22" i="1" a="1"/>
  <c r="B22" i="1" s="1"/>
  <c r="X23" i="1"/>
  <c r="Y23" i="1" s="1"/>
  <c r="AB23" i="1" s="1"/>
  <c r="X8" i="1"/>
  <c r="Y8" i="1" s="1"/>
  <c r="AB8" i="1" s="1"/>
  <c r="X30" i="1"/>
  <c r="Y30" i="1" s="1"/>
  <c r="AB30" i="1" s="1"/>
  <c r="X28" i="1"/>
  <c r="Y28" i="1" s="1"/>
  <c r="AB28" i="1" s="1"/>
  <c r="X4" i="1"/>
  <c r="Y4" i="1" s="1"/>
  <c r="AB4" i="1" s="1"/>
  <c r="X21" i="1"/>
  <c r="Y21" i="1" s="1"/>
  <c r="AB21" i="1" s="1"/>
  <c r="X16" i="1"/>
  <c r="Y16" i="1" s="1"/>
  <c r="AB16" i="1" s="1"/>
  <c r="V29" i="1"/>
  <c r="X29" i="1" s="1"/>
  <c r="Y29" i="1" s="1"/>
  <c r="AB29" i="1" s="1"/>
  <c r="V23" i="1"/>
  <c r="V8" i="1"/>
  <c r="V27" i="1"/>
  <c r="X27" i="1" s="1"/>
  <c r="Y27" i="1" s="1"/>
  <c r="AB27" i="1" s="1"/>
  <c r="V20" i="1"/>
  <c r="X20" i="1" s="1"/>
  <c r="Y20" i="1" s="1"/>
  <c r="AB20" i="1" s="1"/>
  <c r="V10" i="1"/>
  <c r="X10" i="1" s="1"/>
  <c r="Y10" i="1" s="1"/>
  <c r="AB10" i="1" s="1"/>
  <c r="V24" i="1"/>
  <c r="X24" i="1" s="1"/>
  <c r="Y24" i="1" s="1"/>
  <c r="AB24" i="1" s="1"/>
  <c r="V25" i="1"/>
  <c r="X25" i="1" s="1"/>
  <c r="Y25" i="1" s="1"/>
  <c r="AB25" i="1" s="1"/>
  <c r="V30" i="1"/>
  <c r="V9" i="1"/>
  <c r="X9" i="1" s="1"/>
  <c r="Y9" i="1" s="1"/>
  <c r="AB9" i="1" s="1"/>
  <c r="V26" i="1"/>
  <c r="X26" i="1" s="1"/>
  <c r="Y26" i="1" s="1"/>
  <c r="AB26" i="1" s="1"/>
  <c r="V6" i="1"/>
  <c r="X6" i="1" s="1"/>
  <c r="Y6" i="1" s="1"/>
  <c r="AB6" i="1" s="1"/>
  <c r="V19" i="1"/>
  <c r="X19" i="1" s="1"/>
  <c r="Y19" i="1" s="1"/>
  <c r="AB19" i="1" s="1"/>
  <c r="V15" i="1"/>
  <c r="X15" i="1" s="1"/>
  <c r="Y15" i="1" s="1"/>
  <c r="AB15" i="1" s="1"/>
  <c r="V5" i="1"/>
  <c r="X5" i="1" s="1"/>
  <c r="Y5" i="1" s="1"/>
  <c r="AB5" i="1" s="1"/>
  <c r="V17" i="1"/>
  <c r="X17" i="1" s="1"/>
  <c r="Y17" i="1" s="1"/>
  <c r="AB17" i="1" s="1"/>
  <c r="V12" i="1"/>
  <c r="X12" i="1" s="1"/>
  <c r="Y12" i="1" s="1"/>
  <c r="AB12" i="1" s="1"/>
  <c r="V7" i="1"/>
  <c r="X7" i="1" s="1"/>
  <c r="Y7" i="1" s="1"/>
  <c r="AB7" i="1" s="1"/>
  <c r="V3" i="1"/>
  <c r="X3" i="1" s="1"/>
  <c r="Y3" i="1" s="1"/>
  <c r="AB3" i="1" s="1"/>
  <c r="V11" i="1"/>
  <c r="X11" i="1" s="1"/>
  <c r="Y11" i="1" s="1"/>
  <c r="AB11" i="1" s="1"/>
  <c r="V18" i="1"/>
  <c r="X18" i="1" s="1"/>
  <c r="Y18" i="1" s="1"/>
  <c r="AB18" i="1" s="1"/>
  <c r="V13" i="1"/>
  <c r="X13" i="1" s="1"/>
  <c r="Y13" i="1" s="1"/>
  <c r="AB13" i="1" s="1"/>
  <c r="V14" i="1"/>
  <c r="X14" i="1" s="1"/>
  <c r="Y14" i="1" s="1"/>
  <c r="AB14" i="1" s="1"/>
  <c r="V2" i="1"/>
  <c r="X2" i="1" s="1"/>
  <c r="Y2" i="1" s="1"/>
  <c r="AB2" i="1" s="1"/>
  <c r="V28" i="1"/>
  <c r="V4" i="1"/>
  <c r="V21" i="1"/>
  <c r="V16" i="1"/>
  <c r="V22" i="1"/>
  <c r="X22" i="1" s="1"/>
  <c r="Y22" i="1" s="1"/>
  <c r="AB2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<sst xmlns="http://schemas.openxmlformats.org/spreadsheetml/2006/main" count="296" uniqueCount="196">
  <si>
    <t>Nombre Estudiante</t>
  </si>
  <si>
    <t>Bonus</t>
  </si>
  <si>
    <t>Descuento por Entrega Fuera de Plazo</t>
  </si>
  <si>
    <t>Observación</t>
  </si>
  <si>
    <t>Luis German Orrego Campano</t>
  </si>
  <si>
    <t>Excelente trabajo. Utiliza las funciones de manera clara y las interpretaciones y respuestas son adecuadas en función de los datos analizados.</t>
  </si>
  <si>
    <t>Maximiliano Abi Osorio Requena</t>
  </si>
  <si>
    <t>Ricardo Tucas Rojas</t>
  </si>
  <si>
    <t>Excelente trabajo. Es un análisis ordenado y estructurado en código y funciones. Sin embargo, los gráficos 8 y 9 no contaban con los años en el eje X, y los gráficos 17 y 18 no contaban con la línea de tendencia.</t>
  </si>
  <si>
    <t>María Paz Flores Jara</t>
  </si>
  <si>
    <t>Excelente trabajo. Utiliza las funciones de manera clara y las interpretaciones y respuestas son adecuadas en función de los datos analizados. Además, declara y justifica la incorporación de scale_fill_manual para la generación de un gráfico</t>
  </si>
  <si>
    <t>Andres Galdames Peña</t>
  </si>
  <si>
    <t>Excelente trabajo. Utiliza las funciones de manera clara y las interpretaciones y respuestas son adecuadas en función de los datos analizados. Además, declara y justifica apoyo de herremientas de IA de manera adecuada</t>
  </si>
  <si>
    <t>Alejandra Vargas Valenzuela</t>
  </si>
  <si>
    <t>Es un muy buen trabajo. Sólo se realizó un pequeño descuento (que con el bonus no tuvo efecto) en el gráfico N° 15 porque el heatmap sólo tuvo un color, dificultando su visualización. De manera adicional, se sugiere comentar los códigos fuera de los "chunk".</t>
  </si>
  <si>
    <t>Mariana Izquierdo Campoverde</t>
  </si>
  <si>
    <t>Muy buen trabajo. Cumple con cada punto y respuesta solicitada. Se realizó un pequeño descuento (sin efecto por el bonus) en los gráficos 12 y 13 porque los puntos de la línea no se encuentran ajustados. De igual forma, el gráfico 18 no contaba con una línea de tendencia por cada zona.</t>
  </si>
  <si>
    <t>Carolina Serrano Espinoza</t>
  </si>
  <si>
    <t>Pablo Meliqueo Cifuentes</t>
  </si>
  <si>
    <t>Angel Toro Omerovich</t>
  </si>
  <si>
    <t>Axel Reiche Ibarrart</t>
  </si>
  <si>
    <t>Sólo se da respuesta a 4 preguntas. Se sugiere revisar las guias y casos prácticos de la clase. Por otra parte, no entrega el html solicitado.</t>
  </si>
  <si>
    <t>Camila Ghio Arriagada</t>
  </si>
  <si>
    <t>Incorporar</t>
  </si>
  <si>
    <t>Constanza Garay Ite</t>
  </si>
  <si>
    <t>Excelente trabajo. Utiliza cada función revisada y da respuesta a lo requerido. No obstante, en la pregunta 3 el archivo tenía otro nombre, por lo que se sugiere no renonbrar los archivos para la tarea.</t>
  </si>
  <si>
    <t>Cristian David Silva Farias</t>
  </si>
  <si>
    <t>Es un buen trabajo. Sin embargo, en la pregunta N° 3 el archivo quedó con valores NA que impactaron su desarrollo hasta la pregunta 9. Con todo, se indicaron conclusiones que visualmente no se detectaban. Se sugiere revisar el código antes de generar el html</t>
  </si>
  <si>
    <t>Francisco Pino Liberona</t>
  </si>
  <si>
    <t>Excelente trabajo. Utiliza las funciones de manera clara y las interpretaciones y respuestas son adecuadas en función de los datos analizados. Como observación: Recuerde "imprimir" los gráficos en el archivo y en el html, de momento, sólo se visualizan los códigos.</t>
  </si>
  <si>
    <t>Gabriela Oporto Tapia</t>
  </si>
  <si>
    <t>Es un buen trabajo. No obstante, el gráfico de la pregunta no fue interpretado y no se proporciona lo requerido en las últimad dos preguntas. Además se descuenta por entrega fuera de plazo.</t>
  </si>
  <si>
    <t>Lorena Escobar Morales</t>
  </si>
  <si>
    <t>Excelente trabajo. Utiliza las funciones de manera clara y las interpretaciones y respuestas son adecuadas en función de los datos analizados. Hubo un pequeño descuento porque en la pregunta N° 15 faltó incorporar la cantidad dentro de cada celda.</t>
  </si>
  <si>
    <t>Manuel Antonio Lefian Hualme</t>
  </si>
  <si>
    <t>Es un buen trabajo que puede ser complementado con las guias de clases. Se sugiere reforzar ciertas funciones de visualización.</t>
  </si>
  <si>
    <t>Mariana Ávila González</t>
  </si>
  <si>
    <t>Patricio Enrique Neira Tapia</t>
  </si>
  <si>
    <t>El trabajo presente códigos incompletos al inicio y no se pueden ejecutar. El html no cuenta con códigos ejecutados.</t>
  </si>
  <si>
    <t>Paulina Andres Alarcon</t>
  </si>
  <si>
    <t>Vanessa Orellana Valenzuela</t>
  </si>
  <si>
    <t>Carolina Tamara Vera Leiva</t>
  </si>
  <si>
    <t>Excelente trabajo. Utiliza las funciones de manera clara y las interpretaciones y respuestas son adecuadas en función de los datos analizados. Como recomendación, se sugiere escribir las respuestas fuera de los "chunk".</t>
  </si>
  <si>
    <t>Camilo Saavedra Cordero</t>
  </si>
  <si>
    <t>Excelente trabajo. Utiliza las funciones de manera clara y las interpretaciones y respuestas son adecuadas en función de los datos analizados. Como recomendación, se sugiere escribir las respuestas fuera de los "chunk" y además, imprimir los gráficos. De igual forma, se sugiere revisar los códigos antes de entregar el html final.</t>
  </si>
  <si>
    <t>Alejandra Rodriguez Soza</t>
  </si>
  <si>
    <t>Sandra Riquelme Diaz</t>
  </si>
  <si>
    <t>Andres Emilio Roncagliolo Cortinez</t>
  </si>
  <si>
    <t>Excelente trabajo. Utiliza las funciones de manera clara y las interpretaciones y respuestas son adecuadas en función de los datos analizados. Se realizó un pequeño descuento (sin efecto después del bonus) en las preguntas N° 11, 12 y 13 porque el código presentaba un pequeño error.</t>
  </si>
  <si>
    <t>Felipe Farias Mardones</t>
  </si>
  <si>
    <t>Romina Contreras Cerda</t>
  </si>
  <si>
    <t>Descuento</t>
  </si>
  <si>
    <t>Nota Final</t>
  </si>
  <si>
    <t>Nota final2</t>
  </si>
  <si>
    <t>Tiempo Retraso</t>
  </si>
  <si>
    <t>12 minutos y 54 segundos</t>
  </si>
  <si>
    <t>4 horas y 40 minutos</t>
  </si>
  <si>
    <t>1 día y 21 horas</t>
  </si>
  <si>
    <t>P1</t>
  </si>
  <si>
    <t>P2</t>
  </si>
  <si>
    <t>P3</t>
  </si>
  <si>
    <t>P4</t>
  </si>
  <si>
    <t>P5</t>
  </si>
  <si>
    <t>P6</t>
  </si>
  <si>
    <t>P7</t>
  </si>
  <si>
    <t>P8</t>
  </si>
  <si>
    <t>P9</t>
  </si>
  <si>
    <t>P10</t>
  </si>
  <si>
    <t>P11</t>
  </si>
  <si>
    <t>P12</t>
  </si>
  <si>
    <t>P13</t>
  </si>
  <si>
    <t>P14</t>
  </si>
  <si>
    <t>P15</t>
  </si>
  <si>
    <t>P16</t>
  </si>
  <si>
    <t>P17</t>
  </si>
  <si>
    <t>P18</t>
  </si>
  <si>
    <t>PT</t>
  </si>
  <si>
    <t>PF</t>
  </si>
  <si>
    <t>Nota Preliminar</t>
  </si>
  <si>
    <t>Apellido</t>
  </si>
  <si>
    <t>RUT</t>
  </si>
  <si>
    <t>ALUMNO</t>
  </si>
  <si>
    <t>EMAIL</t>
  </si>
  <si>
    <t>12487307-K</t>
  </si>
  <si>
    <t>ANDRES ALARCON, PAULINA</t>
  </si>
  <si>
    <t>PAANDRES@ALUMNOS.UAI.CL</t>
  </si>
  <si>
    <t>17646362-7</t>
  </si>
  <si>
    <t>CONTRERAS CERDA, ROMINA</t>
  </si>
  <si>
    <t>ROMICONTRERAS@ALUMNOS.UAI.CL</t>
  </si>
  <si>
    <t>13601088-3</t>
  </si>
  <si>
    <t>ESCOBAR MORALES, LORENA</t>
  </si>
  <si>
    <t>LOESCOBAR@ALUMNOS.UAI.CL</t>
  </si>
  <si>
    <t>13767926-4</t>
  </si>
  <si>
    <t>FARIAS MARDONES, FELIPE</t>
  </si>
  <si>
    <t>FELFARIAS@ALUMNOS.UAI.CL</t>
  </si>
  <si>
    <t>17576795-9</t>
  </si>
  <si>
    <t>FLORES JARA, MARIA PAZ</t>
  </si>
  <si>
    <t>MARIAPAFLORES@ALUMNOS.UAI.CL</t>
  </si>
  <si>
    <t>16129490-K</t>
  </si>
  <si>
    <t>GALDAMES PEÑA, ANDRES</t>
  </si>
  <si>
    <t>ANDGALDAMES@ALUMNOS.UAI.CL</t>
  </si>
  <si>
    <t>18104767-4</t>
  </si>
  <si>
    <t>GARAY ITE, CONSTANZA</t>
  </si>
  <si>
    <t>COGARAY@ALUMNOS.UAI.CL</t>
  </si>
  <si>
    <t>17804371-4</t>
  </si>
  <si>
    <t>GHIO ARRIAGADA, CAMILA</t>
  </si>
  <si>
    <t>CGHIO@ALUMNOS.UAI.CL</t>
  </si>
  <si>
    <t>504241-0</t>
  </si>
  <si>
    <t>IZQUIERDO CAMPOVERDE, MARIANA</t>
  </si>
  <si>
    <t>MARIIZQUIERDO@ALUMNOS.UAI.CL</t>
  </si>
  <si>
    <t>12244311-6</t>
  </si>
  <si>
    <t>LEFIAN HUALME, MANUEL ANTONIO</t>
  </si>
  <si>
    <t>MLEFIAN@ALUMNOS.UAI.CL</t>
  </si>
  <si>
    <t>14549831-7</t>
  </si>
  <si>
    <t>MELIQUEO CIFUENTES, PABLO</t>
  </si>
  <si>
    <t>PMELIQUEO@ALUMNOS.UAI.CL</t>
  </si>
  <si>
    <t>11694054-K</t>
  </si>
  <si>
    <t>NEIRA TAPIA, PATRICIO ENRIQUE</t>
  </si>
  <si>
    <t>PATNEIRA@ALUMNOS.UAI.CL</t>
  </si>
  <si>
    <t>19792944-8</t>
  </si>
  <si>
    <t>OPORTO TAPIA, GABRIELA</t>
  </si>
  <si>
    <t>GOPORTO@ALUMNOS.UAI.CL</t>
  </si>
  <si>
    <t>18475781-8</t>
  </si>
  <si>
    <t>ORELLANA VALENZUELA, VANESSA</t>
  </si>
  <si>
    <t>VANORELLANA@ALUMNOS.UAI.CL</t>
  </si>
  <si>
    <t>16545685-8</t>
  </si>
  <si>
    <t>ORREGO CAMPANO, LUIS GERMÁN</t>
  </si>
  <si>
    <t>lorrego@alumnos.uai.cl</t>
  </si>
  <si>
    <t>21314066-3</t>
  </si>
  <si>
    <t>OSORIO REQUENA, MAXIMILIANO ABÍ</t>
  </si>
  <si>
    <t>maxiosorio@alumnos.uai.cl</t>
  </si>
  <si>
    <t>18356787-K</t>
  </si>
  <si>
    <t>PINO LIBERONA, FRANCISCO</t>
  </si>
  <si>
    <t>FRANCISPINO@ALUMNOS.UAI.CL</t>
  </si>
  <si>
    <t>12909893-7</t>
  </si>
  <si>
    <t>RIQUELME DIAZ, SANDRA</t>
  </si>
  <si>
    <t>SANDRRIQUELME@ALUMNOS.UAI.CL</t>
  </si>
  <si>
    <t>12451950-0</t>
  </si>
  <si>
    <t>RODRIGUEZ SOZA, ALEJANDRA</t>
  </si>
  <si>
    <t>ALE.RODRIGUEZ@ALUMNOS.UAI.CL</t>
  </si>
  <si>
    <t>15363900-0</t>
  </si>
  <si>
    <t>RONCAGLIOLO CORTINEZ, ANDRES EMILIO</t>
  </si>
  <si>
    <t>ARONCAGLIOLO@ALUMNOS.UAI.CL</t>
  </si>
  <si>
    <t>18279059-1</t>
  </si>
  <si>
    <t>SAAVEDRA CORDERO, CAMILO</t>
  </si>
  <si>
    <t>CAMILOSAAVEDRA@ALUMNOS.UAI.CL</t>
  </si>
  <si>
    <t>13292585-2</t>
  </si>
  <si>
    <t>SERRANO ESPINOZA, CAROLINA ANDREA</t>
  </si>
  <si>
    <t>CAROLISERRANO@ALUMNOS.UAI.CL</t>
  </si>
  <si>
    <t>12242293-3</t>
  </si>
  <si>
    <t>SILVA FARIAS, CRISTIAN DAVID</t>
  </si>
  <si>
    <t>CRISTIANDSILVA@ALUMNOS.UAI.CL</t>
  </si>
  <si>
    <t>18904767-3</t>
  </si>
  <si>
    <t>TORO OMEROVICH, ANGEL</t>
  </si>
  <si>
    <t>ANGETORO@ALUMNOS.UAI.CL</t>
  </si>
  <si>
    <t>7260224-2</t>
  </si>
  <si>
    <t>TUCAS ROJAS, RICARDO</t>
  </si>
  <si>
    <t>RITUCAS@ALUMNOS.UAI.CL</t>
  </si>
  <si>
    <t>18210507-4</t>
  </si>
  <si>
    <t>VARGAS VALENZUELA, ALEJANDRA</t>
  </si>
  <si>
    <t>ALEJAVARGAS@ALUMNOS.UAI.CL</t>
  </si>
  <si>
    <t>13045178-0</t>
  </si>
  <si>
    <t>VERA LEIVA, CAROLINA TAMARA</t>
  </si>
  <si>
    <t>CAROLVERA@ALUMNOS.UAI.CL</t>
  </si>
  <si>
    <t>Nombre Detalle</t>
  </si>
  <si>
    <t>Rut</t>
  </si>
  <si>
    <t>Andres</t>
  </si>
  <si>
    <t>Ávila</t>
  </si>
  <si>
    <t>NA</t>
  </si>
  <si>
    <t>Contreras</t>
  </si>
  <si>
    <t>Escobar</t>
  </si>
  <si>
    <t>Farias</t>
  </si>
  <si>
    <t>Flores</t>
  </si>
  <si>
    <t>Galdames</t>
  </si>
  <si>
    <t>Garay</t>
  </si>
  <si>
    <t>Ghio</t>
  </si>
  <si>
    <t>Izquierdo</t>
  </si>
  <si>
    <t>Lefian</t>
  </si>
  <si>
    <t>Meliqueo</t>
  </si>
  <si>
    <t>Neira</t>
  </si>
  <si>
    <t>Oporto</t>
  </si>
  <si>
    <t>Orellana</t>
  </si>
  <si>
    <t>Orrego</t>
  </si>
  <si>
    <t>Osorio</t>
  </si>
  <si>
    <t>Pino</t>
  </si>
  <si>
    <t>Reiche</t>
  </si>
  <si>
    <t>Riquelme</t>
  </si>
  <si>
    <t>Rodriguez</t>
  </si>
  <si>
    <t>Roncagliolo</t>
  </si>
  <si>
    <t>Saavedra</t>
  </si>
  <si>
    <t>Serrano</t>
  </si>
  <si>
    <t>Silva</t>
  </si>
  <si>
    <t>Toro</t>
  </si>
  <si>
    <t>Tucas</t>
  </si>
  <si>
    <t>Vargas</t>
  </si>
  <si>
    <t>Vera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</si>
</sst>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6" x14ac:knownFonts="1">
    <font>
      <sz val="10"/>
      <color rgb="FF000000"/>
      <name val="Arial"/>
      <scheme val="minor"/>
    </font>
    <font>
      <sz val="10"/>
      <color theme="1"/>
      <name val="Arial"/>
      <scheme val="minor"/>
    </font>
    <font>
      <sz val="8"/>
      <name val="Arial"/>
      <scheme val="minor"/>
    </font>
    <font>
      <b/>
      <sz val="10"/>
      <color theme="1"/>
      <name val="Arial"/>
      <family val="2"/>
      <scheme val="minor"/>
    </font>
    <font>
      <sz val="10"/>
      <color theme="1"/>
      <name val="Arial"/>
      <family val="2"/>
      <scheme val="minor"/>
    </font>
    <font>
      <sz val="10"/>
      <name val="Arial"/>
      <family val="2"/>
    </font>
  </fonts>
  <fills count="11">
    <fill>
      <patternFill patternType="none"/>
    </fill>
    <fill>
      <patternFill patternType="gray125"/>
    </fill>
    <fill>
      <patternFill patternType="solid">
        <fgColor rgb="FFFFFFFF"/>
        <bgColor rgb="FFFFFFFF"/>
      </patternFill>
    </fill>
    <fill>
      <patternFill patternType="solid">
        <fgColor rgb="FFF6F8F9"/>
        <bgColor rgb="FFF6F8F9"/>
      </patternFill>
    </fill>
    <fill>
      <patternFill patternType="solid">
        <fgColor theme="6" tint="0.79998168889431442"/>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7" tint="0.59999389629810485"/>
        <bgColor indexed="64"/>
      </patternFill>
    </fill>
    <fill>
      <patternFill patternType="solid">
        <fgColor theme="4" tint="-0.249977111117893"/>
        <bgColor indexed="64"/>
      </patternFill>
    </fill>
    <fill>
      <patternFill patternType="solid">
        <fgColor theme="5" tint="0.39997558519241921"/>
        <bgColor rgb="FFEA9999"/>
      </patternFill>
    </fill>
    <fill>
      <patternFill patternType="solid">
        <fgColor theme="5" tint="0.39997558519241921"/>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5" fillId="0" borderId="0"/>
  </cellStyleXfs>
  <cellXfs count="21">
    <xf numFmtId="0" fontId="0" fillId="0" borderId="0" xfId="0"/>
    <xf numFmtId="0" fontId="1" fillId="0" borderId="1" xfId="0" applyFont="1" applyBorder="1" applyAlignment="1">
      <alignment vertical="center"/>
    </xf>
    <xf numFmtId="164" fontId="1" fillId="0" borderId="1" xfId="0" applyNumberFormat="1" applyFont="1" applyBorder="1" applyAlignment="1">
      <alignment vertical="center"/>
    </xf>
    <xf numFmtId="0" fontId="3" fillId="4" borderId="1" xfId="0" applyFont="1" applyFill="1" applyBorder="1" applyAlignment="1">
      <alignment horizontal="center" vertical="center"/>
    </xf>
    <xf numFmtId="0" fontId="3" fillId="4" borderId="0" xfId="0" applyFont="1" applyFill="1" applyAlignment="1">
      <alignment horizontal="center" vertical="center"/>
    </xf>
    <xf numFmtId="49" fontId="3" fillId="0" borderId="0" xfId="0" applyNumberFormat="1" applyFont="1" applyAlignment="1">
      <alignment horizontal="center" vertical="center"/>
    </xf>
    <xf numFmtId="0" fontId="3" fillId="0" borderId="0" xfId="0" applyFont="1" applyAlignment="1">
      <alignment horizontal="center" vertical="center"/>
    </xf>
    <xf numFmtId="0" fontId="3" fillId="5" borderId="0" xfId="0" applyFont="1" applyFill="1" applyAlignment="1">
      <alignment horizontal="center" vertical="center"/>
    </xf>
    <xf numFmtId="49" fontId="3" fillId="6" borderId="0" xfId="0" applyNumberFormat="1" applyFont="1" applyFill="1" applyAlignment="1">
      <alignment horizontal="center" vertical="center"/>
    </xf>
    <xf numFmtId="49" fontId="3" fillId="7" borderId="0" xfId="0" applyNumberFormat="1" applyFont="1" applyFill="1" applyAlignment="1">
      <alignment horizontal="center" vertical="center"/>
    </xf>
    <xf numFmtId="0" fontId="3" fillId="7" borderId="0" xfId="0" applyFont="1" applyFill="1" applyAlignment="1">
      <alignment horizontal="center" vertical="center"/>
    </xf>
    <xf numFmtId="0" fontId="3" fillId="8" borderId="0" xfId="0" applyFont="1" applyFill="1" applyAlignment="1">
      <alignment horizontal="center" vertical="center"/>
    </xf>
    <xf numFmtId="0" fontId="1" fillId="9" borderId="1" xfId="0" applyFont="1" applyFill="1" applyBorder="1" applyAlignment="1">
      <alignment vertical="center"/>
    </xf>
    <xf numFmtId="0" fontId="1" fillId="10" borderId="1" xfId="0" applyFont="1" applyFill="1" applyBorder="1" applyAlignment="1">
      <alignment vertical="center"/>
    </xf>
    <xf numFmtId="164" fontId="1" fillId="10" borderId="1" xfId="0" applyNumberFormat="1" applyFont="1" applyFill="1" applyBorder="1" applyAlignment="1">
      <alignment vertical="center"/>
    </xf>
    <xf numFmtId="164" fontId="1" fillId="9" borderId="1" xfId="0" applyNumberFormat="1" applyFont="1" applyFill="1" applyBorder="1" applyAlignment="1">
      <alignment vertical="center"/>
    </xf>
    <xf numFmtId="0" fontId="5" fillId="0" borderId="0" xfId="1"/>
    <xf numFmtId="0" fontId="4" fillId="2" borderId="1" xfId="0" applyFont="1" applyFill="1" applyBorder="1" applyAlignment="1">
      <alignment vertical="center"/>
    </xf>
    <xf numFmtId="0" fontId="4" fillId="9" borderId="1" xfId="0" applyFont="1" applyFill="1" applyBorder="1" applyAlignment="1">
      <alignment vertical="center"/>
    </xf>
    <xf numFmtId="0" fontId="4" fillId="3" borderId="1" xfId="0" applyFont="1" applyFill="1" applyBorder="1" applyAlignment="1">
      <alignment vertical="center"/>
    </xf>
    <xf numFmtId="164" fontId="0" fillId="0" borderId="0" xfId="0" applyNumberFormat="1"/>
  </cellXfs>
  <cellStyles count="2">
    <cellStyle name="Normal" xfId="0" builtinId="0"/>
    <cellStyle name="Normal 2" xfId="1" xr:uid="{0EED1BD3-D6CD-45D3-A3E4-8E9E1DFDDB03}"/>
  </cellStyles>
  <dxfs count="21">
    <dxf>
      <fill>
        <patternFill patternType="solid">
          <fgColor rgb="FFE06666"/>
          <bgColor rgb="FFE06666"/>
        </patternFill>
      </fill>
    </dxf>
    <dxf>
      <fill>
        <patternFill patternType="solid">
          <fgColor rgb="FFB7E1CD"/>
          <bgColor rgb="FFB7E1CD"/>
        </patternFill>
      </fill>
    </dxf>
    <dxf>
      <fill>
        <patternFill patternType="solid">
          <fgColor rgb="FFE06666"/>
          <bgColor rgb="FFE06666"/>
        </patternFill>
      </fill>
    </dxf>
    <dxf>
      <fill>
        <patternFill patternType="solid">
          <fgColor rgb="FFB7E1CD"/>
          <bgColor rgb="FFB7E1CD"/>
        </patternFill>
      </fill>
    </dxf>
    <dxf>
      <fill>
        <patternFill patternType="solid">
          <fgColor rgb="FFE06666"/>
          <bgColor rgb="FFE06666"/>
        </patternFill>
      </fill>
    </dxf>
    <dxf>
      <fill>
        <patternFill patternType="solid">
          <fgColor rgb="FFB7E1CD"/>
          <bgColor rgb="FFB7E1CD"/>
        </patternFill>
      </fill>
    </dxf>
    <dxf>
      <fill>
        <patternFill patternType="solid">
          <fgColor rgb="FFE06666"/>
          <bgColor rgb="FFE06666"/>
        </patternFill>
      </fill>
    </dxf>
    <dxf>
      <fill>
        <patternFill patternType="solid">
          <fgColor rgb="FFB7E1CD"/>
          <bgColor rgb="FFB7E1CD"/>
        </patternFill>
      </fill>
    </dxf>
    <dxf>
      <border outline="0">
        <left style="thin">
          <color rgb="FF000000"/>
        </left>
      </border>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family val="2"/>
      </font>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tableStyle name="Hoja 1-style" pivot="0" count="4" xr9:uid="{00000000-0011-0000-FFFF-FFFF00000000}">
      <tableStyleElement type="wholeTable" size="0" dxfId="20"/>
      <tableStyleElement type="headerRow" dxfId="19"/>
      <tableStyleElement type="firstRowStripe" dxfId="18"/>
      <tableStyleElement type="secondRowStripe" dxfId="1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_1" displayName="Tabla_1" ref="A1:AE30" headerRowDxfId="16">
  <autoFilter ref="A1:AE30" xr:uid="{00000000-000C-0000-FFFF-FFFF00000000}"/>
  <sortState xmlns:xlrd2="http://schemas.microsoft.com/office/spreadsheetml/2017/richdata2" ref="A2:AE30">
    <sortCondition ref="B1:B30"/>
  </sortState>
  <tableColumns count="31">
    <tableColumn id="1" xr3:uid="{00000000-0010-0000-0000-000001000000}" name="Nombre Estudiante"/>
    <tableColumn id="30" xr3:uid="{4338BEB8-F5F0-4A85-96F9-BF32845F69E2}" name="Apellido" dataDxfId="15">
      <calculatedColumnFormula array="1">_xlfn.LET(_xlpm.x,_xlfn.TEXTSPLIT(TRIM(A2)," "),INDEX(_xlpm.x,1,COLUMNS(_xlpm.x)-1))</calculatedColumnFormula>
    </tableColumn>
    <tableColumn id="31" xr3:uid="{01E6460C-35A4-443B-B0BA-90CA35BBA807}" name="Rut" dataDxfId="14">
      <calculatedColumnFormula>+VLOOKUP(Tabla_1[[#This Row],[Nombre Estudiante]],OMEGA!$A$2:$B$28,2,0)</calculatedColumnFormula>
    </tableColumn>
    <tableColumn id="2" xr3:uid="{00000000-0010-0000-0000-000002000000}" name="P1"/>
    <tableColumn id="3" xr3:uid="{00000000-0010-0000-0000-000003000000}" name="P2"/>
    <tableColumn id="4" xr3:uid="{00000000-0010-0000-0000-000004000000}" name="P3"/>
    <tableColumn id="5" xr3:uid="{00000000-0010-0000-0000-000005000000}" name="P4"/>
    <tableColumn id="6" xr3:uid="{00000000-0010-0000-0000-000006000000}" name="P5"/>
    <tableColumn id="7" xr3:uid="{00000000-0010-0000-0000-000007000000}" name="P6"/>
    <tableColumn id="8" xr3:uid="{00000000-0010-0000-0000-000008000000}" name="P7"/>
    <tableColumn id="9" xr3:uid="{00000000-0010-0000-0000-000009000000}" name="P8"/>
    <tableColumn id="10" xr3:uid="{00000000-0010-0000-0000-00000A000000}" name="P9"/>
    <tableColumn id="11" xr3:uid="{00000000-0010-0000-0000-00000B000000}" name="P10"/>
    <tableColumn id="12" xr3:uid="{00000000-0010-0000-0000-00000C000000}" name="P11"/>
    <tableColumn id="13" xr3:uid="{00000000-0010-0000-0000-00000D000000}" name="P12"/>
    <tableColumn id="14" xr3:uid="{00000000-0010-0000-0000-00000E000000}" name="P13"/>
    <tableColumn id="15" xr3:uid="{00000000-0010-0000-0000-00000F000000}" name="P14"/>
    <tableColumn id="16" xr3:uid="{00000000-0010-0000-0000-000010000000}" name="P15"/>
    <tableColumn id="17" xr3:uid="{00000000-0010-0000-0000-000011000000}" name="P16"/>
    <tableColumn id="18" xr3:uid="{00000000-0010-0000-0000-000012000000}" name="P17"/>
    <tableColumn id="19" xr3:uid="{00000000-0010-0000-0000-000013000000}" name="P18"/>
    <tableColumn id="20" xr3:uid="{00000000-0010-0000-0000-000014000000}" name="PT">
      <calculatedColumnFormula>SUM(D2:U2)</calculatedColumnFormula>
    </tableColumn>
    <tableColumn id="21" xr3:uid="{00000000-0010-0000-0000-000015000000}" name="Bonus"/>
    <tableColumn id="29" xr3:uid="{94374FCE-DF04-43D5-B12F-5E386CADBFB5}" name="PF" dataDxfId="13">
      <calculatedColumnFormula>+Tabla_1[[#This Row],[Bonus]]+Tabla_1[[#This Row],[PT]]</calculatedColumnFormula>
    </tableColumn>
    <tableColumn id="22" xr3:uid="{00000000-0010-0000-0000-000016000000}" name="Nota Preliminar" dataDxfId="12">
      <calculatedColumnFormula>IF(Tabla_1[[#This Row],[PF]]&gt;18,7,(Tabla_1[[#This Row],[PF]]/18)*6+1)</calculatedColumnFormula>
    </tableColumn>
    <tableColumn id="28" xr3:uid="{F7AA9813-712D-4420-A46A-42E1E2E54D13}" name="Tiempo Retraso" dataDxfId="11"/>
    <tableColumn id="26" xr3:uid="{2D2FDA5C-0E4B-4DFB-B52C-5A6A0A6DB987}" name="Descuento" dataDxfId="10"/>
    <tableColumn id="27" xr3:uid="{F26EABED-A3C7-4830-8B14-FFC3470D5B8D}" name="Nota Final" dataDxfId="9">
      <calculatedColumnFormula>+Tabla_1[[#This Row],[Nota Preliminar]]-Tabla_1[[#This Row],[Descuento]]</calculatedColumnFormula>
    </tableColumn>
    <tableColumn id="23" xr3:uid="{00000000-0010-0000-0000-000017000000}" name="Descuento por Entrega Fuera de Plazo" dataDxfId="8"/>
    <tableColumn id="24" xr3:uid="{00000000-0010-0000-0000-000018000000}" name="Nota final2"/>
    <tableColumn id="25" xr3:uid="{00000000-0010-0000-0000-000019000000}" name="Observación"/>
  </tableColumns>
  <tableStyleInfo name="Hoja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95B90-FA9A-41A1-976A-F2026E3C4060}">
  <sheetPr filterMode="1"/>
  <dimension ref="A1:H30"/>
  <sheetViews>
    <sheetView tabSelected="1" zoomScale="129" workbookViewId="0">
      <selection activeCell="D14" sqref="D14"/>
    </sheetView>
  </sheetViews>
  <sheetFormatPr baseColWidth="10" defaultRowHeight="13.2" x14ac:dyDescent="0.25"/>
  <cols>
    <col min="1" max="1" width="32.33203125" bestFit="1" customWidth="1"/>
    <col min="2" max="2" width="14.5546875" hidden="1" customWidth="1"/>
    <col min="3" max="3" width="15" bestFit="1" customWidth="1"/>
    <col min="4" max="4" width="16.109375" bestFit="1" customWidth="1"/>
  </cols>
  <sheetData>
    <row r="1" spans="1:8" x14ac:dyDescent="0.25">
      <c r="A1" s="3" t="s">
        <v>0</v>
      </c>
      <c r="B1" s="3" t="s">
        <v>79</v>
      </c>
      <c r="C1" s="3" t="s">
        <v>165</v>
      </c>
      <c r="D1" s="11" t="s">
        <v>52</v>
      </c>
    </row>
    <row r="2" spans="1:8" x14ac:dyDescent="0.25">
      <c r="A2" s="1" t="s">
        <v>39</v>
      </c>
      <c r="B2" s="1" t="s">
        <v>166</v>
      </c>
      <c r="C2" s="1" t="s">
        <v>83</v>
      </c>
      <c r="D2" s="2">
        <v>7</v>
      </c>
    </row>
    <row r="3" spans="1:8" hidden="1" x14ac:dyDescent="0.25">
      <c r="A3" s="12" t="s">
        <v>36</v>
      </c>
      <c r="B3" s="13" t="s">
        <v>167</v>
      </c>
      <c r="C3" s="1" t="s">
        <v>168</v>
      </c>
      <c r="D3" s="15">
        <v>1</v>
      </c>
    </row>
    <row r="4" spans="1:8" x14ac:dyDescent="0.25">
      <c r="A4" s="1" t="s">
        <v>50</v>
      </c>
      <c r="B4" s="1" t="s">
        <v>169</v>
      </c>
      <c r="C4" s="1" t="s">
        <v>86</v>
      </c>
      <c r="D4" s="2">
        <v>7</v>
      </c>
    </row>
    <row r="5" spans="1:8" x14ac:dyDescent="0.25">
      <c r="A5" s="1" t="s">
        <v>32</v>
      </c>
      <c r="B5" s="1" t="s">
        <v>170</v>
      </c>
      <c r="C5" s="1" t="s">
        <v>89</v>
      </c>
      <c r="D5" s="2">
        <v>6.9333333333333336</v>
      </c>
    </row>
    <row r="6" spans="1:8" x14ac:dyDescent="0.25">
      <c r="A6" s="1" t="s">
        <v>49</v>
      </c>
      <c r="B6" s="1" t="s">
        <v>171</v>
      </c>
      <c r="C6" s="1" t="s">
        <v>92</v>
      </c>
      <c r="D6" s="2">
        <v>7</v>
      </c>
    </row>
    <row r="7" spans="1:8" x14ac:dyDescent="0.25">
      <c r="A7" s="1" t="s">
        <v>9</v>
      </c>
      <c r="B7" s="1" t="s">
        <v>172</v>
      </c>
      <c r="C7" s="1" t="s">
        <v>95</v>
      </c>
      <c r="D7" s="2">
        <v>7</v>
      </c>
    </row>
    <row r="8" spans="1:8" x14ac:dyDescent="0.25">
      <c r="A8" s="1" t="s">
        <v>11</v>
      </c>
      <c r="B8" s="1" t="s">
        <v>173</v>
      </c>
      <c r="C8" s="1" t="s">
        <v>98</v>
      </c>
      <c r="D8" s="2">
        <v>7</v>
      </c>
    </row>
    <row r="9" spans="1:8" x14ac:dyDescent="0.25">
      <c r="A9" s="1" t="s">
        <v>24</v>
      </c>
      <c r="B9" s="1" t="s">
        <v>174</v>
      </c>
      <c r="C9" s="1" t="s">
        <v>101</v>
      </c>
      <c r="D9" s="2">
        <v>7</v>
      </c>
      <c r="H9" s="20">
        <f>+MEDIAN(D2:D30)</f>
        <v>7</v>
      </c>
    </row>
    <row r="10" spans="1:8" x14ac:dyDescent="0.25">
      <c r="A10" s="1" t="s">
        <v>22</v>
      </c>
      <c r="B10" s="1" t="s">
        <v>175</v>
      </c>
      <c r="C10" s="1" t="s">
        <v>104</v>
      </c>
      <c r="D10" s="2">
        <v>6.5</v>
      </c>
    </row>
    <row r="11" spans="1:8" x14ac:dyDescent="0.25">
      <c r="A11" s="1" t="s">
        <v>15</v>
      </c>
      <c r="B11" s="1" t="s">
        <v>176</v>
      </c>
      <c r="C11" s="1" t="s">
        <v>107</v>
      </c>
      <c r="D11" s="2">
        <v>7</v>
      </c>
    </row>
    <row r="12" spans="1:8" x14ac:dyDescent="0.25">
      <c r="A12" s="1" t="s">
        <v>34</v>
      </c>
      <c r="B12" s="1" t="s">
        <v>177</v>
      </c>
      <c r="C12" s="1" t="s">
        <v>110</v>
      </c>
      <c r="D12" s="2">
        <v>4</v>
      </c>
    </row>
    <row r="13" spans="1:8" x14ac:dyDescent="0.25">
      <c r="A13" s="1" t="s">
        <v>18</v>
      </c>
      <c r="B13" s="1" t="s">
        <v>178</v>
      </c>
      <c r="C13" s="1" t="s">
        <v>113</v>
      </c>
      <c r="D13" s="2">
        <v>7</v>
      </c>
    </row>
    <row r="14" spans="1:8" x14ac:dyDescent="0.25">
      <c r="A14" s="1" t="s">
        <v>37</v>
      </c>
      <c r="B14" s="1" t="s">
        <v>179</v>
      </c>
      <c r="C14" s="1" t="s">
        <v>116</v>
      </c>
      <c r="D14" s="2">
        <v>1.3333333333333333</v>
      </c>
    </row>
    <row r="15" spans="1:8" x14ac:dyDescent="0.25">
      <c r="A15" s="1" t="s">
        <v>30</v>
      </c>
      <c r="B15" s="1" t="s">
        <v>180</v>
      </c>
      <c r="C15" s="1" t="s">
        <v>119</v>
      </c>
      <c r="D15" s="2">
        <v>4.3666666666666671</v>
      </c>
    </row>
    <row r="16" spans="1:8" x14ac:dyDescent="0.25">
      <c r="A16" s="1" t="s">
        <v>40</v>
      </c>
      <c r="B16" s="1" t="s">
        <v>181</v>
      </c>
      <c r="C16" s="1" t="s">
        <v>122</v>
      </c>
      <c r="D16" s="2">
        <v>7</v>
      </c>
    </row>
    <row r="17" spans="1:4" x14ac:dyDescent="0.25">
      <c r="A17" s="1" t="s">
        <v>4</v>
      </c>
      <c r="B17" s="1" t="s">
        <v>182</v>
      </c>
      <c r="C17" s="1" t="s">
        <v>125</v>
      </c>
      <c r="D17" s="2">
        <v>7</v>
      </c>
    </row>
    <row r="18" spans="1:4" x14ac:dyDescent="0.25">
      <c r="A18" s="1" t="s">
        <v>6</v>
      </c>
      <c r="B18" s="1" t="s">
        <v>183</v>
      </c>
      <c r="C18" s="1" t="s">
        <v>128</v>
      </c>
      <c r="D18" s="2">
        <v>7</v>
      </c>
    </row>
    <row r="19" spans="1:4" x14ac:dyDescent="0.25">
      <c r="A19" s="1" t="s">
        <v>28</v>
      </c>
      <c r="B19" s="1" t="s">
        <v>184</v>
      </c>
      <c r="C19" s="1" t="s">
        <v>131</v>
      </c>
      <c r="D19" s="2">
        <v>7</v>
      </c>
    </row>
    <row r="20" spans="1:4" hidden="1" x14ac:dyDescent="0.25">
      <c r="A20" s="1" t="s">
        <v>20</v>
      </c>
      <c r="B20" s="1" t="s">
        <v>185</v>
      </c>
      <c r="C20" s="1" t="s">
        <v>168</v>
      </c>
      <c r="D20" s="2">
        <v>2</v>
      </c>
    </row>
    <row r="21" spans="1:4" x14ac:dyDescent="0.25">
      <c r="A21" s="12" t="s">
        <v>46</v>
      </c>
      <c r="B21" s="13" t="s">
        <v>186</v>
      </c>
      <c r="C21" s="1" t="s">
        <v>134</v>
      </c>
      <c r="D21" s="15">
        <v>1</v>
      </c>
    </row>
    <row r="22" spans="1:4" x14ac:dyDescent="0.25">
      <c r="A22" s="1" t="s">
        <v>45</v>
      </c>
      <c r="B22" s="1" t="s">
        <v>187</v>
      </c>
      <c r="C22" s="1" t="s">
        <v>137</v>
      </c>
      <c r="D22" s="2">
        <v>7</v>
      </c>
    </row>
    <row r="23" spans="1:4" x14ac:dyDescent="0.25">
      <c r="A23" s="1" t="s">
        <v>47</v>
      </c>
      <c r="B23" s="1" t="s">
        <v>188</v>
      </c>
      <c r="C23" s="1" t="s">
        <v>140</v>
      </c>
      <c r="D23" s="2">
        <v>6.5666666666666673</v>
      </c>
    </row>
    <row r="24" spans="1:4" x14ac:dyDescent="0.25">
      <c r="A24" s="1" t="s">
        <v>43</v>
      </c>
      <c r="B24" s="1" t="s">
        <v>189</v>
      </c>
      <c r="C24" s="1" t="s">
        <v>143</v>
      </c>
      <c r="D24" s="2">
        <v>5.2666666666666666</v>
      </c>
    </row>
    <row r="25" spans="1:4" x14ac:dyDescent="0.25">
      <c r="A25" s="1" t="s">
        <v>17</v>
      </c>
      <c r="B25" s="1" t="s">
        <v>190</v>
      </c>
      <c r="C25" s="1" t="s">
        <v>146</v>
      </c>
      <c r="D25" s="2">
        <v>7</v>
      </c>
    </row>
    <row r="26" spans="1:4" x14ac:dyDescent="0.25">
      <c r="A26" s="1" t="s">
        <v>26</v>
      </c>
      <c r="B26" s="1" t="s">
        <v>191</v>
      </c>
      <c r="C26" s="1" t="s">
        <v>149</v>
      </c>
      <c r="D26" s="2">
        <v>5.4333333333333327</v>
      </c>
    </row>
    <row r="27" spans="1:4" x14ac:dyDescent="0.25">
      <c r="A27" s="1" t="s">
        <v>19</v>
      </c>
      <c r="B27" s="1" t="s">
        <v>192</v>
      </c>
      <c r="C27" s="1" t="s">
        <v>152</v>
      </c>
      <c r="D27" s="2">
        <v>7</v>
      </c>
    </row>
    <row r="28" spans="1:4" x14ac:dyDescent="0.25">
      <c r="A28" s="1" t="s">
        <v>7</v>
      </c>
      <c r="B28" s="1" t="s">
        <v>193</v>
      </c>
      <c r="C28" s="1" t="s">
        <v>155</v>
      </c>
      <c r="D28" s="2">
        <v>6.7333333333333325</v>
      </c>
    </row>
    <row r="29" spans="1:4" x14ac:dyDescent="0.25">
      <c r="A29" s="1" t="s">
        <v>13</v>
      </c>
      <c r="B29" s="1" t="s">
        <v>194</v>
      </c>
      <c r="C29" s="1" t="s">
        <v>158</v>
      </c>
      <c r="D29" s="2">
        <v>7</v>
      </c>
    </row>
    <row r="30" spans="1:4" x14ac:dyDescent="0.25">
      <c r="A30" s="1" t="s">
        <v>41</v>
      </c>
      <c r="B30" s="1" t="s">
        <v>195</v>
      </c>
      <c r="C30" s="1" t="s">
        <v>161</v>
      </c>
      <c r="D30" s="2">
        <v>7</v>
      </c>
    </row>
  </sheetData>
  <autoFilter ref="A1:D30" xr:uid="{A7595B90-FA9A-41A1-976A-F2026E3C4060}">
    <filterColumn colId="2">
      <filters>
        <filter val="11694054-K"/>
        <filter val="12242293-3"/>
        <filter val="12244311-6"/>
        <filter val="12451950-0"/>
        <filter val="12487307-K"/>
        <filter val="12909893-7"/>
        <filter val="13045178-0"/>
        <filter val="13292585-2"/>
        <filter val="13601088-3"/>
        <filter val="13767926-4"/>
        <filter val="14549831-7"/>
        <filter val="15363900-0"/>
        <filter val="16129490-K"/>
        <filter val="16545685-8"/>
        <filter val="17576795-9"/>
        <filter val="17646362-7"/>
        <filter val="17804371-4"/>
        <filter val="18104767-4"/>
        <filter val="18210507-4"/>
        <filter val="18279059-1"/>
        <filter val="18356787-K"/>
        <filter val="18475781-8"/>
        <filter val="18904767-3"/>
        <filter val="19792944-8"/>
        <filter val="21314066-3"/>
        <filter val="504241-0"/>
        <filter val="7260224-2"/>
      </filters>
    </filterColumn>
    <sortState xmlns:xlrd2="http://schemas.microsoft.com/office/spreadsheetml/2017/richdata2" ref="A2:D30">
      <sortCondition ref="B1:B30"/>
    </sortState>
  </autoFilter>
  <conditionalFormatting sqref="D2:D30">
    <cfRule type="cellIs" dxfId="7" priority="1" operator="greaterThanOrEqual">
      <formula>4</formula>
    </cfRule>
    <cfRule type="cellIs" dxfId="6" priority="2" operator="lessThan">
      <formula>4</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E30"/>
  <sheetViews>
    <sheetView zoomScale="70" zoomScaleNormal="70" workbookViewId="0">
      <pane xSplit="1" ySplit="1" topLeftCell="B2" activePane="bottomRight" state="frozen"/>
      <selection pane="topRight" activeCell="B1" sqref="B1"/>
      <selection pane="bottomLeft" activeCell="A2" sqref="A2"/>
      <selection pane="bottomRight" activeCell="AB1" activeCellId="1" sqref="A1:C1048576 AB1:AB1048576"/>
    </sheetView>
  </sheetViews>
  <sheetFormatPr baseColWidth="10" defaultColWidth="12.6640625" defaultRowHeight="15.75" customHeight="1" x14ac:dyDescent="0.25"/>
  <cols>
    <col min="1" max="1" width="32.33203125" bestFit="1" customWidth="1"/>
    <col min="2" max="2" width="14.5546875" bestFit="1" customWidth="1"/>
    <col min="3" max="3" width="15" bestFit="1" customWidth="1"/>
    <col min="4" max="12" width="9.77734375" bestFit="1" customWidth="1"/>
    <col min="13" max="20" width="10.88671875" bestFit="1" customWidth="1"/>
    <col min="21" max="21" width="10.88671875" customWidth="1"/>
    <col min="22" max="22" width="9.77734375" bestFit="1" customWidth="1"/>
    <col min="23" max="23" width="6.88671875" bestFit="1" customWidth="1"/>
    <col min="24" max="24" width="6.88671875" customWidth="1"/>
    <col min="25" max="25" width="21.109375" bestFit="1" customWidth="1"/>
    <col min="26" max="26" width="24.5546875" bestFit="1" customWidth="1"/>
    <col min="28" max="28" width="16.109375" bestFit="1" customWidth="1"/>
    <col min="29" max="29" width="42.33203125" bestFit="1" customWidth="1"/>
    <col min="30" max="30" width="9.33203125" hidden="1" customWidth="1"/>
    <col min="31" max="31" width="91" customWidth="1"/>
  </cols>
  <sheetData>
    <row r="1" spans="1:31" ht="22.5" customHeight="1" x14ac:dyDescent="0.25">
      <c r="A1" s="3" t="s">
        <v>0</v>
      </c>
      <c r="B1" s="3" t="s">
        <v>79</v>
      </c>
      <c r="C1" s="3" t="s">
        <v>165</v>
      </c>
      <c r="D1" s="3" t="s">
        <v>58</v>
      </c>
      <c r="E1" s="3" t="s">
        <v>59</v>
      </c>
      <c r="F1" s="3" t="s">
        <v>60</v>
      </c>
      <c r="G1" s="3" t="s">
        <v>61</v>
      </c>
      <c r="H1" s="3" t="s">
        <v>62</v>
      </c>
      <c r="I1" s="3" t="s">
        <v>63</v>
      </c>
      <c r="J1" s="3" t="s">
        <v>64</v>
      </c>
      <c r="K1" s="3" t="s">
        <v>65</v>
      </c>
      <c r="L1" s="3" t="s">
        <v>66</v>
      </c>
      <c r="M1" s="3" t="s">
        <v>67</v>
      </c>
      <c r="N1" s="3" t="s">
        <v>68</v>
      </c>
      <c r="O1" s="3" t="s">
        <v>69</v>
      </c>
      <c r="P1" s="3" t="s">
        <v>70</v>
      </c>
      <c r="Q1" s="3" t="s">
        <v>71</v>
      </c>
      <c r="R1" s="3" t="s">
        <v>72</v>
      </c>
      <c r="S1" s="3" t="s">
        <v>73</v>
      </c>
      <c r="T1" s="3" t="s">
        <v>74</v>
      </c>
      <c r="U1" s="3" t="s">
        <v>75</v>
      </c>
      <c r="V1" s="4" t="s">
        <v>76</v>
      </c>
      <c r="W1" s="8" t="s">
        <v>1</v>
      </c>
      <c r="X1" s="9" t="s">
        <v>77</v>
      </c>
      <c r="Y1" s="10" t="s">
        <v>78</v>
      </c>
      <c r="Z1" s="7" t="s">
        <v>54</v>
      </c>
      <c r="AA1" s="7" t="s">
        <v>51</v>
      </c>
      <c r="AB1" s="11" t="s">
        <v>52</v>
      </c>
      <c r="AC1" s="5" t="s">
        <v>2</v>
      </c>
      <c r="AD1" s="5" t="s">
        <v>53</v>
      </c>
      <c r="AE1" s="6" t="s">
        <v>3</v>
      </c>
    </row>
    <row r="2" spans="1:31" ht="22.5" customHeight="1" x14ac:dyDescent="0.25">
      <c r="A2" s="1" t="s">
        <v>39</v>
      </c>
      <c r="B2" s="1" t="str" cm="1">
        <f t="array" ref="B2">_xlfn.LET(_xlpm.x,_xlfn.TEXTSPLIT(TRIM(A2)," "),INDEX(_xlpm.x,1,COLUMNS(_xlpm.x)-1))</f>
        <v>Andres</v>
      </c>
      <c r="C2" s="1" t="str">
        <f>+_xlfn.IFNA(VLOOKUP(Tabla_1[[#This Row],[Nombre Estudiante]],OMEGA!$A$2:$B$28,2,0),"NA")</f>
        <v>12487307-K</v>
      </c>
      <c r="D2" s="1">
        <v>1</v>
      </c>
      <c r="E2" s="1">
        <v>1</v>
      </c>
      <c r="F2" s="1">
        <v>1</v>
      </c>
      <c r="G2" s="1">
        <v>1</v>
      </c>
      <c r="H2" s="1">
        <v>1</v>
      </c>
      <c r="I2" s="1">
        <v>1</v>
      </c>
      <c r="J2" s="1">
        <v>1</v>
      </c>
      <c r="K2" s="1">
        <v>1</v>
      </c>
      <c r="L2" s="1">
        <v>1</v>
      </c>
      <c r="M2" s="1">
        <v>1</v>
      </c>
      <c r="N2" s="1">
        <v>1</v>
      </c>
      <c r="O2" s="1">
        <v>1</v>
      </c>
      <c r="P2" s="1">
        <v>1</v>
      </c>
      <c r="Q2" s="1">
        <v>1</v>
      </c>
      <c r="R2" s="1">
        <v>1</v>
      </c>
      <c r="S2" s="1">
        <v>1</v>
      </c>
      <c r="T2" s="1">
        <v>1</v>
      </c>
      <c r="U2" s="1">
        <v>1</v>
      </c>
      <c r="V2" s="1">
        <f t="shared" ref="V2:V30" si="0">SUM(D2:U2)</f>
        <v>18</v>
      </c>
      <c r="W2" s="1">
        <v>1</v>
      </c>
      <c r="X2" s="1">
        <f>+Tabla_1[[#This Row],[Bonus]]+Tabla_1[[#This Row],[PT]]</f>
        <v>19</v>
      </c>
      <c r="Y2" s="2">
        <f>IF(Tabla_1[[#This Row],[PF]]&gt;18,7,(Tabla_1[[#This Row],[PF]]/18)*6+1)</f>
        <v>7</v>
      </c>
      <c r="Z2" s="1"/>
      <c r="AA2" s="1"/>
      <c r="AB2" s="2">
        <f>+Tabla_1[[#This Row],[Nota Preliminar]]-Tabla_1[[#This Row],[Descuento]]</f>
        <v>7</v>
      </c>
      <c r="AC2" s="1"/>
      <c r="AD2" s="1">
        <v>7</v>
      </c>
      <c r="AE2" s="1" t="s">
        <v>29</v>
      </c>
    </row>
    <row r="3" spans="1:31" ht="22.5" customHeight="1" x14ac:dyDescent="0.25">
      <c r="A3" s="12" t="s">
        <v>36</v>
      </c>
      <c r="B3" s="13" t="str" cm="1">
        <f t="array" ref="B3">_xlfn.LET(_xlpm.x,_xlfn.TEXTSPLIT(TRIM(A3)," "),INDEX(_xlpm.x,1,COLUMNS(_xlpm.x)-1))</f>
        <v>Ávila</v>
      </c>
      <c r="C3" s="1" t="str">
        <f>+_xlfn.IFNA(VLOOKUP(Tabla_1[[#This Row],[Nombre Estudiante]],OMEGA!$A$2:$B$28,2,0),"NA")</f>
        <v>NA</v>
      </c>
      <c r="D3" s="12"/>
      <c r="E3" s="12"/>
      <c r="F3" s="12"/>
      <c r="G3" s="12"/>
      <c r="H3" s="12"/>
      <c r="I3" s="12"/>
      <c r="J3" s="12"/>
      <c r="K3" s="12"/>
      <c r="L3" s="12"/>
      <c r="M3" s="12"/>
      <c r="N3" s="12"/>
      <c r="O3" s="12"/>
      <c r="P3" s="12"/>
      <c r="Q3" s="12"/>
      <c r="R3" s="12"/>
      <c r="S3" s="12"/>
      <c r="T3" s="12"/>
      <c r="U3" s="12"/>
      <c r="V3" s="13">
        <f t="shared" si="0"/>
        <v>0</v>
      </c>
      <c r="W3" s="12"/>
      <c r="X3" s="13">
        <f>+Tabla_1[[#This Row],[Bonus]]+Tabla_1[[#This Row],[PT]]</f>
        <v>0</v>
      </c>
      <c r="Y3" s="14">
        <f>IF(Tabla_1[[#This Row],[PF]]&gt;18,7,(Tabla_1[[#This Row],[PF]]/18)*6+1)</f>
        <v>1</v>
      </c>
      <c r="Z3" s="12"/>
      <c r="AA3" s="12"/>
      <c r="AB3" s="15">
        <f>+Tabla_1[[#This Row],[Nota Preliminar]]-Tabla_1[[#This Row],[Descuento]]</f>
        <v>1</v>
      </c>
      <c r="AC3" s="12"/>
      <c r="AD3" s="12"/>
      <c r="AE3" s="12"/>
    </row>
    <row r="4" spans="1:31" ht="22.5" customHeight="1" x14ac:dyDescent="0.25">
      <c r="A4" s="1" t="s">
        <v>50</v>
      </c>
      <c r="B4" s="1" t="str" cm="1">
        <f t="array" ref="B4">_xlfn.LET(_xlpm.x,_xlfn.TEXTSPLIT(TRIM(A4)," "),INDEX(_xlpm.x,1,COLUMNS(_xlpm.x)-1))</f>
        <v>Contreras</v>
      </c>
      <c r="C4" s="1" t="str">
        <f>+_xlfn.IFNA(VLOOKUP(Tabla_1[[#This Row],[Nombre Estudiante]],OMEGA!$A$2:$B$28,2,0),"NA")</f>
        <v>17646362-7</v>
      </c>
      <c r="D4" s="1">
        <v>1</v>
      </c>
      <c r="E4" s="1">
        <v>1</v>
      </c>
      <c r="F4" s="1">
        <v>1</v>
      </c>
      <c r="G4" s="1">
        <v>1</v>
      </c>
      <c r="H4" s="1">
        <v>1</v>
      </c>
      <c r="I4" s="1">
        <v>1</v>
      </c>
      <c r="J4" s="1">
        <v>1</v>
      </c>
      <c r="K4" s="1">
        <v>1</v>
      </c>
      <c r="L4" s="1">
        <v>1</v>
      </c>
      <c r="M4" s="1">
        <v>1</v>
      </c>
      <c r="N4" s="1">
        <v>1</v>
      </c>
      <c r="O4" s="1">
        <v>1</v>
      </c>
      <c r="P4" s="1">
        <v>1</v>
      </c>
      <c r="Q4" s="1">
        <v>1</v>
      </c>
      <c r="R4" s="1">
        <v>1</v>
      </c>
      <c r="S4" s="1">
        <v>1</v>
      </c>
      <c r="T4" s="1">
        <v>1</v>
      </c>
      <c r="U4" s="1">
        <v>1</v>
      </c>
      <c r="V4" s="1">
        <f t="shared" si="0"/>
        <v>18</v>
      </c>
      <c r="W4" s="1">
        <v>1</v>
      </c>
      <c r="X4" s="1">
        <f>+Tabla_1[[#This Row],[Bonus]]+Tabla_1[[#This Row],[PT]]</f>
        <v>19</v>
      </c>
      <c r="Y4" s="2">
        <f>IF(Tabla_1[[#This Row],[PF]]&gt;18,7,(Tabla_1[[#This Row],[PF]]/18)*6+1)</f>
        <v>7</v>
      </c>
      <c r="Z4" s="1"/>
      <c r="AA4" s="1"/>
      <c r="AB4" s="2">
        <f>+Tabla_1[[#This Row],[Nota Preliminar]]-Tabla_1[[#This Row],[Descuento]]</f>
        <v>7</v>
      </c>
      <c r="AC4" s="1"/>
      <c r="AD4" s="1">
        <v>7</v>
      </c>
      <c r="AE4" s="1" t="s">
        <v>5</v>
      </c>
    </row>
    <row r="5" spans="1:31" ht="22.5" customHeight="1" x14ac:dyDescent="0.25">
      <c r="A5" s="1" t="s">
        <v>32</v>
      </c>
      <c r="B5" s="1" t="str" cm="1">
        <f t="array" ref="B5">_xlfn.LET(_xlpm.x,_xlfn.TEXTSPLIT(TRIM(A5)," "),INDEX(_xlpm.x,1,COLUMNS(_xlpm.x)-1))</f>
        <v>Escobar</v>
      </c>
      <c r="C5" s="1" t="str">
        <f>+_xlfn.IFNA(VLOOKUP(Tabla_1[[#This Row],[Nombre Estudiante]],OMEGA!$A$2:$B$28,2,0),"NA")</f>
        <v>13601088-3</v>
      </c>
      <c r="D5" s="1">
        <v>1</v>
      </c>
      <c r="E5" s="1">
        <v>1</v>
      </c>
      <c r="F5" s="1">
        <v>1</v>
      </c>
      <c r="G5" s="1">
        <v>1</v>
      </c>
      <c r="H5" s="1">
        <v>1</v>
      </c>
      <c r="I5" s="1">
        <v>1</v>
      </c>
      <c r="J5" s="1">
        <v>1</v>
      </c>
      <c r="K5" s="1">
        <v>1</v>
      </c>
      <c r="L5" s="1">
        <v>1</v>
      </c>
      <c r="M5" s="1">
        <v>1</v>
      </c>
      <c r="N5" s="1">
        <v>1</v>
      </c>
      <c r="O5" s="1">
        <v>1</v>
      </c>
      <c r="P5" s="1">
        <v>1</v>
      </c>
      <c r="Q5" s="1">
        <v>1</v>
      </c>
      <c r="R5" s="1">
        <v>0.8</v>
      </c>
      <c r="S5" s="1">
        <v>1</v>
      </c>
      <c r="T5" s="1">
        <v>1</v>
      </c>
      <c r="U5" s="1">
        <v>1</v>
      </c>
      <c r="V5" s="1">
        <f t="shared" si="0"/>
        <v>17.8</v>
      </c>
      <c r="W5" s="1">
        <v>0</v>
      </c>
      <c r="X5" s="1">
        <f>+Tabla_1[[#This Row],[Bonus]]+Tabla_1[[#This Row],[PT]]</f>
        <v>17.8</v>
      </c>
      <c r="Y5" s="2">
        <f>IF(Tabla_1[[#This Row],[PF]]&gt;18,7,(Tabla_1[[#This Row],[PF]]/18)*6+1)</f>
        <v>6.9333333333333336</v>
      </c>
      <c r="Z5" s="1"/>
      <c r="AA5" s="1"/>
      <c r="AB5" s="2">
        <f>+Tabla_1[[#This Row],[Nota Preliminar]]-Tabla_1[[#This Row],[Descuento]]</f>
        <v>6.9333333333333336</v>
      </c>
      <c r="AC5" s="1"/>
      <c r="AD5" s="1">
        <v>6.9</v>
      </c>
      <c r="AE5" s="1" t="s">
        <v>33</v>
      </c>
    </row>
    <row r="6" spans="1:31" ht="22.5" customHeight="1" x14ac:dyDescent="0.25">
      <c r="A6" s="1" t="s">
        <v>49</v>
      </c>
      <c r="B6" s="1" t="str" cm="1">
        <f t="array" ref="B6">_xlfn.LET(_xlpm.x,_xlfn.TEXTSPLIT(TRIM(A6)," "),INDEX(_xlpm.x,1,COLUMNS(_xlpm.x)-1))</f>
        <v>Farias</v>
      </c>
      <c r="C6" s="1" t="str">
        <f>+_xlfn.IFNA(VLOOKUP(Tabla_1[[#This Row],[Nombre Estudiante]],OMEGA!$A$2:$B$28,2,0),"NA")</f>
        <v>13767926-4</v>
      </c>
      <c r="D6" s="1">
        <v>1</v>
      </c>
      <c r="E6" s="1">
        <v>1</v>
      </c>
      <c r="F6" s="1">
        <v>1</v>
      </c>
      <c r="G6" s="1">
        <v>1</v>
      </c>
      <c r="H6" s="1">
        <v>1</v>
      </c>
      <c r="I6" s="1">
        <v>1</v>
      </c>
      <c r="J6" s="1">
        <v>1</v>
      </c>
      <c r="K6" s="1">
        <v>1</v>
      </c>
      <c r="L6" s="1">
        <v>1</v>
      </c>
      <c r="M6" s="1">
        <v>1</v>
      </c>
      <c r="N6" s="1">
        <v>1</v>
      </c>
      <c r="O6" s="1">
        <v>1</v>
      </c>
      <c r="P6" s="1">
        <v>1</v>
      </c>
      <c r="Q6" s="1">
        <v>1</v>
      </c>
      <c r="R6" s="1">
        <v>1</v>
      </c>
      <c r="S6" s="1">
        <v>1</v>
      </c>
      <c r="T6" s="1">
        <v>1</v>
      </c>
      <c r="U6" s="1">
        <v>1</v>
      </c>
      <c r="V6" s="1">
        <f t="shared" si="0"/>
        <v>18</v>
      </c>
      <c r="W6" s="1">
        <v>1</v>
      </c>
      <c r="X6" s="1">
        <f>+Tabla_1[[#This Row],[Bonus]]+Tabla_1[[#This Row],[PT]]</f>
        <v>19</v>
      </c>
      <c r="Y6" s="2">
        <f>IF(Tabla_1[[#This Row],[PF]]&gt;18,7,(Tabla_1[[#This Row],[PF]]/18)*6+1)</f>
        <v>7</v>
      </c>
      <c r="Z6" s="1"/>
      <c r="AA6" s="1"/>
      <c r="AB6" s="2">
        <f>+Tabla_1[[#This Row],[Nota Preliminar]]-Tabla_1[[#This Row],[Descuento]]</f>
        <v>7</v>
      </c>
      <c r="AC6" s="1"/>
      <c r="AD6" s="1">
        <v>7</v>
      </c>
      <c r="AE6" s="1" t="s">
        <v>5</v>
      </c>
    </row>
    <row r="7" spans="1:31" ht="22.5" customHeight="1" x14ac:dyDescent="0.25">
      <c r="A7" s="1" t="s">
        <v>9</v>
      </c>
      <c r="B7" s="1" t="str" cm="1">
        <f t="array" ref="B7">_xlfn.LET(_xlpm.x,_xlfn.TEXTSPLIT(TRIM(A7)," "),INDEX(_xlpm.x,1,COLUMNS(_xlpm.x)-1))</f>
        <v>Flores</v>
      </c>
      <c r="C7" s="1" t="str">
        <f>+_xlfn.IFNA(VLOOKUP(Tabla_1[[#This Row],[Nombre Estudiante]],OMEGA!$A$2:$B$28,2,0),"NA")</f>
        <v>17576795-9</v>
      </c>
      <c r="D7" s="1">
        <v>1</v>
      </c>
      <c r="E7" s="1">
        <v>1</v>
      </c>
      <c r="F7" s="1">
        <v>1</v>
      </c>
      <c r="G7" s="1">
        <v>1</v>
      </c>
      <c r="H7" s="1">
        <v>1</v>
      </c>
      <c r="I7" s="1">
        <v>1</v>
      </c>
      <c r="J7" s="1">
        <v>1</v>
      </c>
      <c r="K7" s="1">
        <v>1</v>
      </c>
      <c r="L7" s="1">
        <v>1</v>
      </c>
      <c r="M7" s="1">
        <v>1</v>
      </c>
      <c r="N7" s="1">
        <v>1</v>
      </c>
      <c r="O7" s="1">
        <v>1</v>
      </c>
      <c r="P7" s="1">
        <v>1</v>
      </c>
      <c r="Q7" s="1">
        <v>1</v>
      </c>
      <c r="R7" s="1">
        <v>1</v>
      </c>
      <c r="S7" s="1">
        <v>1</v>
      </c>
      <c r="T7" s="1">
        <v>1</v>
      </c>
      <c r="U7" s="1">
        <v>1</v>
      </c>
      <c r="V7" s="1">
        <f t="shared" si="0"/>
        <v>18</v>
      </c>
      <c r="W7" s="1">
        <v>1</v>
      </c>
      <c r="X7" s="1">
        <f>+Tabla_1[[#This Row],[Bonus]]+Tabla_1[[#This Row],[PT]]</f>
        <v>19</v>
      </c>
      <c r="Y7" s="2">
        <f>IF(Tabla_1[[#This Row],[PF]]&gt;18,7,(Tabla_1[[#This Row],[PF]]/18)*6+1)</f>
        <v>7</v>
      </c>
      <c r="Z7" s="1"/>
      <c r="AA7" s="1"/>
      <c r="AB7" s="2">
        <f>+Tabla_1[[#This Row],[Nota Preliminar]]-Tabla_1[[#This Row],[Descuento]]</f>
        <v>7</v>
      </c>
      <c r="AC7" s="1"/>
      <c r="AD7" s="1">
        <v>7</v>
      </c>
      <c r="AE7" s="1" t="s">
        <v>10</v>
      </c>
    </row>
    <row r="8" spans="1:31" ht="22.5" customHeight="1" x14ac:dyDescent="0.25">
      <c r="A8" s="1" t="s">
        <v>11</v>
      </c>
      <c r="B8" s="1" t="str" cm="1">
        <f t="array" ref="B8">_xlfn.LET(_xlpm.x,_xlfn.TEXTSPLIT(TRIM(A8)," "),INDEX(_xlpm.x,1,COLUMNS(_xlpm.x)-1))</f>
        <v>Galdames</v>
      </c>
      <c r="C8" s="1" t="str">
        <f>+_xlfn.IFNA(VLOOKUP(Tabla_1[[#This Row],[Nombre Estudiante]],OMEGA!$A$2:$B$28,2,0),"NA")</f>
        <v>16129490-K</v>
      </c>
      <c r="D8" s="1">
        <v>1</v>
      </c>
      <c r="E8" s="1">
        <v>1</v>
      </c>
      <c r="F8" s="1">
        <v>1</v>
      </c>
      <c r="G8" s="1">
        <v>1</v>
      </c>
      <c r="H8" s="1">
        <v>1</v>
      </c>
      <c r="I8" s="1">
        <v>1</v>
      </c>
      <c r="J8" s="1">
        <v>1</v>
      </c>
      <c r="K8" s="1">
        <v>1</v>
      </c>
      <c r="L8" s="1">
        <v>1</v>
      </c>
      <c r="M8" s="1">
        <v>1</v>
      </c>
      <c r="N8" s="1">
        <v>1</v>
      </c>
      <c r="O8" s="1">
        <v>1</v>
      </c>
      <c r="P8" s="1">
        <v>1</v>
      </c>
      <c r="Q8" s="1">
        <v>1</v>
      </c>
      <c r="R8" s="1">
        <v>1</v>
      </c>
      <c r="S8" s="1">
        <v>1</v>
      </c>
      <c r="T8" s="1">
        <v>1</v>
      </c>
      <c r="U8" s="1">
        <v>1</v>
      </c>
      <c r="V8" s="1">
        <f t="shared" si="0"/>
        <v>18</v>
      </c>
      <c r="W8" s="1">
        <v>1</v>
      </c>
      <c r="X8" s="1">
        <f>+Tabla_1[[#This Row],[Bonus]]+Tabla_1[[#This Row],[PT]]</f>
        <v>19</v>
      </c>
      <c r="Y8" s="2">
        <f>IF(Tabla_1[[#This Row],[PF]]&gt;18,7,(Tabla_1[[#This Row],[PF]]/18)*6+1)</f>
        <v>7</v>
      </c>
      <c r="Z8" s="1"/>
      <c r="AA8" s="1"/>
      <c r="AB8" s="2">
        <f>+Tabla_1[[#This Row],[Nota Preliminar]]-Tabla_1[[#This Row],[Descuento]]</f>
        <v>7</v>
      </c>
      <c r="AC8" s="1"/>
      <c r="AD8" s="1">
        <v>7</v>
      </c>
      <c r="AE8" s="1" t="s">
        <v>12</v>
      </c>
    </row>
    <row r="9" spans="1:31" ht="22.5" customHeight="1" x14ac:dyDescent="0.25">
      <c r="A9" s="1" t="s">
        <v>24</v>
      </c>
      <c r="B9" s="1" t="str" cm="1">
        <f t="array" ref="B9">_xlfn.LET(_xlpm.x,_xlfn.TEXTSPLIT(TRIM(A9)," "),INDEX(_xlpm.x,1,COLUMNS(_xlpm.x)-1))</f>
        <v>Garay</v>
      </c>
      <c r="C9" s="1" t="str">
        <f>+_xlfn.IFNA(VLOOKUP(Tabla_1[[#This Row],[Nombre Estudiante]],OMEGA!$A$2:$B$28,2,0),"NA")</f>
        <v>18104767-4</v>
      </c>
      <c r="D9" s="1">
        <v>1</v>
      </c>
      <c r="E9" s="1">
        <v>1</v>
      </c>
      <c r="F9" s="1">
        <v>1</v>
      </c>
      <c r="G9" s="1">
        <v>1</v>
      </c>
      <c r="H9" s="1">
        <v>1</v>
      </c>
      <c r="I9" s="1">
        <v>1</v>
      </c>
      <c r="J9" s="1">
        <v>1</v>
      </c>
      <c r="K9" s="1">
        <v>1</v>
      </c>
      <c r="L9" s="1">
        <v>1</v>
      </c>
      <c r="M9" s="1">
        <v>1</v>
      </c>
      <c r="N9" s="1">
        <v>1</v>
      </c>
      <c r="O9" s="1">
        <v>1</v>
      </c>
      <c r="P9" s="1">
        <v>1</v>
      </c>
      <c r="Q9" s="1">
        <v>1</v>
      </c>
      <c r="R9" s="1">
        <v>1</v>
      </c>
      <c r="S9" s="1">
        <v>1</v>
      </c>
      <c r="T9" s="1">
        <v>1</v>
      </c>
      <c r="U9" s="1">
        <v>1</v>
      </c>
      <c r="V9" s="1">
        <f t="shared" si="0"/>
        <v>18</v>
      </c>
      <c r="W9" s="1">
        <v>1</v>
      </c>
      <c r="X9" s="1">
        <f>+Tabla_1[[#This Row],[Bonus]]+Tabla_1[[#This Row],[PT]]</f>
        <v>19</v>
      </c>
      <c r="Y9" s="2">
        <f>IF(Tabla_1[[#This Row],[PF]]&gt;18,7,(Tabla_1[[#This Row],[PF]]/18)*6+1)</f>
        <v>7</v>
      </c>
      <c r="Z9" s="1"/>
      <c r="AA9" s="1"/>
      <c r="AB9" s="2">
        <f>+Tabla_1[[#This Row],[Nota Preliminar]]-Tabla_1[[#This Row],[Descuento]]</f>
        <v>7</v>
      </c>
      <c r="AC9" s="1"/>
      <c r="AD9" s="1">
        <v>7</v>
      </c>
      <c r="AE9" s="1" t="s">
        <v>25</v>
      </c>
    </row>
    <row r="10" spans="1:31" ht="22.5" customHeight="1" x14ac:dyDescent="0.25">
      <c r="A10" s="1" t="s">
        <v>22</v>
      </c>
      <c r="B10" s="1" t="str" cm="1">
        <f t="array" ref="B10">_xlfn.LET(_xlpm.x,_xlfn.TEXTSPLIT(TRIM(A10)," "),INDEX(_xlpm.x,1,COLUMNS(_xlpm.x)-1))</f>
        <v>Ghio</v>
      </c>
      <c r="C10" s="1" t="str">
        <f>+_xlfn.IFNA(VLOOKUP(Tabla_1[[#This Row],[Nombre Estudiante]],OMEGA!$A$2:$B$28,2,0),"NA")</f>
        <v>17804371-4</v>
      </c>
      <c r="D10" s="1">
        <v>1</v>
      </c>
      <c r="E10" s="1">
        <v>1</v>
      </c>
      <c r="F10" s="1">
        <v>1</v>
      </c>
      <c r="G10" s="1">
        <v>1</v>
      </c>
      <c r="H10" s="1">
        <v>1</v>
      </c>
      <c r="I10" s="1">
        <v>1</v>
      </c>
      <c r="J10" s="1">
        <v>1</v>
      </c>
      <c r="K10" s="1">
        <v>1</v>
      </c>
      <c r="L10" s="1">
        <v>1</v>
      </c>
      <c r="M10" s="1">
        <v>1</v>
      </c>
      <c r="N10" s="1">
        <v>1</v>
      </c>
      <c r="O10" s="1">
        <v>1</v>
      </c>
      <c r="P10" s="1">
        <v>1</v>
      </c>
      <c r="Q10" s="1">
        <v>1</v>
      </c>
      <c r="R10" s="1">
        <v>1</v>
      </c>
      <c r="S10" s="1">
        <v>1</v>
      </c>
      <c r="T10" s="1">
        <v>1</v>
      </c>
      <c r="U10" s="1">
        <v>1</v>
      </c>
      <c r="V10" s="1">
        <f t="shared" si="0"/>
        <v>18</v>
      </c>
      <c r="W10" s="1">
        <v>1</v>
      </c>
      <c r="X10" s="1">
        <f>+Tabla_1[[#This Row],[Bonus]]+Tabla_1[[#This Row],[PT]]</f>
        <v>19</v>
      </c>
      <c r="Y10" s="2">
        <f>IF(Tabla_1[[#This Row],[PF]]&gt;18,7,(Tabla_1[[#This Row],[PF]]/18)*6+1)</f>
        <v>7</v>
      </c>
      <c r="Z10" s="1" t="s">
        <v>55</v>
      </c>
      <c r="AA10" s="1">
        <v>0.5</v>
      </c>
      <c r="AB10" s="2">
        <f>+Tabla_1[[#This Row],[Nota Preliminar]]-Tabla_1[[#This Row],[Descuento]]</f>
        <v>6.5</v>
      </c>
      <c r="AC10" s="1" t="s">
        <v>23</v>
      </c>
      <c r="AD10" s="1"/>
      <c r="AE10" s="1" t="s">
        <v>5</v>
      </c>
    </row>
    <row r="11" spans="1:31" ht="22.5" customHeight="1" x14ac:dyDescent="0.25">
      <c r="A11" s="1" t="s">
        <v>15</v>
      </c>
      <c r="B11" s="1" t="str" cm="1">
        <f t="array" ref="B11">_xlfn.LET(_xlpm.x,_xlfn.TEXTSPLIT(TRIM(A11)," "),INDEX(_xlpm.x,1,COLUMNS(_xlpm.x)-1))</f>
        <v>Izquierdo</v>
      </c>
      <c r="C11" s="1" t="str">
        <f>+_xlfn.IFNA(VLOOKUP(Tabla_1[[#This Row],[Nombre Estudiante]],OMEGA!$A$2:$B$28,2,0),"NA")</f>
        <v>504241-0</v>
      </c>
      <c r="D11" s="1">
        <v>1</v>
      </c>
      <c r="E11" s="1">
        <v>1</v>
      </c>
      <c r="F11" s="1">
        <v>1</v>
      </c>
      <c r="G11" s="1">
        <v>1</v>
      </c>
      <c r="H11" s="1">
        <v>1</v>
      </c>
      <c r="I11" s="1">
        <v>1</v>
      </c>
      <c r="J11" s="1">
        <v>1</v>
      </c>
      <c r="K11" s="1">
        <v>1</v>
      </c>
      <c r="L11" s="1">
        <v>1</v>
      </c>
      <c r="M11" s="1">
        <v>1</v>
      </c>
      <c r="N11" s="1">
        <v>1</v>
      </c>
      <c r="O11" s="1">
        <v>0.8</v>
      </c>
      <c r="P11" s="1">
        <v>0.8</v>
      </c>
      <c r="Q11" s="1">
        <v>1</v>
      </c>
      <c r="R11" s="1">
        <v>1</v>
      </c>
      <c r="S11" s="1">
        <v>1</v>
      </c>
      <c r="T11" s="1">
        <v>1</v>
      </c>
      <c r="U11" s="1">
        <v>0.8</v>
      </c>
      <c r="V11" s="1">
        <f t="shared" si="0"/>
        <v>17.400000000000002</v>
      </c>
      <c r="W11" s="1">
        <v>1</v>
      </c>
      <c r="X11" s="1">
        <f>+Tabla_1[[#This Row],[Bonus]]+Tabla_1[[#This Row],[PT]]</f>
        <v>18.400000000000002</v>
      </c>
      <c r="Y11" s="2">
        <f>IF(Tabla_1[[#This Row],[PF]]&gt;18,7,(Tabla_1[[#This Row],[PF]]/18)*6+1)</f>
        <v>7</v>
      </c>
      <c r="Z11" s="1"/>
      <c r="AA11" s="1"/>
      <c r="AB11" s="2">
        <f>+Tabla_1[[#This Row],[Nota Preliminar]]-Tabla_1[[#This Row],[Descuento]]</f>
        <v>7</v>
      </c>
      <c r="AC11" s="1"/>
      <c r="AD11" s="1">
        <v>7</v>
      </c>
      <c r="AE11" s="1" t="s">
        <v>16</v>
      </c>
    </row>
    <row r="12" spans="1:31" ht="22.5" customHeight="1" x14ac:dyDescent="0.25">
      <c r="A12" s="1" t="s">
        <v>34</v>
      </c>
      <c r="B12" s="1" t="str" cm="1">
        <f t="array" ref="B12">_xlfn.LET(_xlpm.x,_xlfn.TEXTSPLIT(TRIM(A12)," "),INDEX(_xlpm.x,1,COLUMNS(_xlpm.x)-1))</f>
        <v>Lefian</v>
      </c>
      <c r="C12" s="1" t="str">
        <f>+_xlfn.IFNA(VLOOKUP(Tabla_1[[#This Row],[Nombre Estudiante]],OMEGA!$A$2:$B$28,2,0),"NA")</f>
        <v>12244311-6</v>
      </c>
      <c r="D12" s="1">
        <v>1</v>
      </c>
      <c r="E12" s="1">
        <v>1</v>
      </c>
      <c r="F12" s="1">
        <v>1</v>
      </c>
      <c r="G12" s="1">
        <v>1</v>
      </c>
      <c r="H12" s="1">
        <v>1</v>
      </c>
      <c r="I12" s="1">
        <v>1</v>
      </c>
      <c r="J12" s="1">
        <v>1</v>
      </c>
      <c r="K12" s="1">
        <v>1</v>
      </c>
      <c r="L12" s="1">
        <v>1</v>
      </c>
      <c r="M12" s="1">
        <v>0</v>
      </c>
      <c r="N12" s="1">
        <v>0</v>
      </c>
      <c r="O12" s="1">
        <v>0</v>
      </c>
      <c r="P12" s="1">
        <v>0</v>
      </c>
      <c r="Q12" s="1">
        <v>0</v>
      </c>
      <c r="R12" s="1">
        <v>0</v>
      </c>
      <c r="S12" s="1">
        <v>0</v>
      </c>
      <c r="T12" s="1">
        <v>0</v>
      </c>
      <c r="U12" s="1">
        <v>0</v>
      </c>
      <c r="V12" s="1">
        <f t="shared" si="0"/>
        <v>9</v>
      </c>
      <c r="W12" s="1">
        <v>0</v>
      </c>
      <c r="X12" s="1">
        <f>+Tabla_1[[#This Row],[Bonus]]+Tabla_1[[#This Row],[PT]]</f>
        <v>9</v>
      </c>
      <c r="Y12" s="2">
        <f>IF(Tabla_1[[#This Row],[PF]]&gt;18,7,(Tabla_1[[#This Row],[PF]]/18)*6+1)</f>
        <v>4</v>
      </c>
      <c r="Z12" s="1"/>
      <c r="AA12" s="1"/>
      <c r="AB12" s="2">
        <f>+Tabla_1[[#This Row],[Nota Preliminar]]-Tabla_1[[#This Row],[Descuento]]</f>
        <v>4</v>
      </c>
      <c r="AC12" s="1"/>
      <c r="AD12" s="1">
        <v>4</v>
      </c>
      <c r="AE12" s="1" t="s">
        <v>35</v>
      </c>
    </row>
    <row r="13" spans="1:31" ht="22.5" customHeight="1" x14ac:dyDescent="0.25">
      <c r="A13" s="1" t="s">
        <v>18</v>
      </c>
      <c r="B13" s="1" t="str" cm="1">
        <f t="array" ref="B13">_xlfn.LET(_xlpm.x,_xlfn.TEXTSPLIT(TRIM(A13)," "),INDEX(_xlpm.x,1,COLUMNS(_xlpm.x)-1))</f>
        <v>Meliqueo</v>
      </c>
      <c r="C13" s="1" t="str">
        <f>+_xlfn.IFNA(VLOOKUP(Tabla_1[[#This Row],[Nombre Estudiante]],OMEGA!$A$2:$B$28,2,0),"NA")</f>
        <v>14549831-7</v>
      </c>
      <c r="D13" s="1">
        <v>1</v>
      </c>
      <c r="E13" s="1">
        <v>1</v>
      </c>
      <c r="F13" s="1">
        <v>1</v>
      </c>
      <c r="G13" s="1">
        <v>1</v>
      </c>
      <c r="H13" s="1">
        <v>1</v>
      </c>
      <c r="I13" s="1">
        <v>1</v>
      </c>
      <c r="J13" s="1">
        <v>1</v>
      </c>
      <c r="K13" s="1">
        <v>1</v>
      </c>
      <c r="L13" s="1">
        <v>1</v>
      </c>
      <c r="M13" s="1">
        <v>1</v>
      </c>
      <c r="N13" s="1">
        <v>1</v>
      </c>
      <c r="O13" s="1">
        <v>1</v>
      </c>
      <c r="P13" s="1">
        <v>1</v>
      </c>
      <c r="Q13" s="1">
        <v>1</v>
      </c>
      <c r="R13" s="1">
        <v>1</v>
      </c>
      <c r="S13" s="1">
        <v>1</v>
      </c>
      <c r="T13" s="1">
        <v>1</v>
      </c>
      <c r="U13" s="1">
        <v>1</v>
      </c>
      <c r="V13" s="1">
        <f t="shared" si="0"/>
        <v>18</v>
      </c>
      <c r="W13" s="1">
        <v>1</v>
      </c>
      <c r="X13" s="1">
        <f>+Tabla_1[[#This Row],[Bonus]]+Tabla_1[[#This Row],[PT]]</f>
        <v>19</v>
      </c>
      <c r="Y13" s="2">
        <f>IF(Tabla_1[[#This Row],[PF]]&gt;18,7,(Tabla_1[[#This Row],[PF]]/18)*6+1)</f>
        <v>7</v>
      </c>
      <c r="Z13" s="1"/>
      <c r="AA13" s="1"/>
      <c r="AB13" s="2">
        <f>+Tabla_1[[#This Row],[Nota Preliminar]]-Tabla_1[[#This Row],[Descuento]]</f>
        <v>7</v>
      </c>
      <c r="AC13" s="1"/>
      <c r="AD13" s="1">
        <v>7</v>
      </c>
      <c r="AE13" s="1" t="s">
        <v>5</v>
      </c>
    </row>
    <row r="14" spans="1:31" ht="22.5" customHeight="1" x14ac:dyDescent="0.25">
      <c r="A14" s="1" t="s">
        <v>37</v>
      </c>
      <c r="B14" s="1" t="str" cm="1">
        <f t="array" ref="B14">_xlfn.LET(_xlpm.x,_xlfn.TEXTSPLIT(TRIM(A14)," "),INDEX(_xlpm.x,1,COLUMNS(_xlpm.x)-1))</f>
        <v>Neira</v>
      </c>
      <c r="C14" s="1" t="str">
        <f>+_xlfn.IFNA(VLOOKUP(Tabla_1[[#This Row],[Nombre Estudiante]],OMEGA!$A$2:$B$28,2,0),"NA")</f>
        <v>11694054-K</v>
      </c>
      <c r="D14" s="1">
        <v>1</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f t="shared" si="0"/>
        <v>1</v>
      </c>
      <c r="W14" s="1">
        <v>0</v>
      </c>
      <c r="X14" s="1">
        <f>+Tabla_1[[#This Row],[Bonus]]+Tabla_1[[#This Row],[PT]]</f>
        <v>1</v>
      </c>
      <c r="Y14" s="2">
        <f>IF(Tabla_1[[#This Row],[PF]]&gt;18,7,(Tabla_1[[#This Row],[PF]]/18)*6+1)</f>
        <v>1.3333333333333333</v>
      </c>
      <c r="Z14" s="1"/>
      <c r="AA14" s="1"/>
      <c r="AB14" s="2">
        <f>+Tabla_1[[#This Row],[Nota Preliminar]]-Tabla_1[[#This Row],[Descuento]]</f>
        <v>1.3333333333333333</v>
      </c>
      <c r="AC14" s="1"/>
      <c r="AD14" s="1">
        <v>1.3</v>
      </c>
      <c r="AE14" s="1" t="s">
        <v>38</v>
      </c>
    </row>
    <row r="15" spans="1:31" ht="22.5" customHeight="1" x14ac:dyDescent="0.25">
      <c r="A15" s="1" t="s">
        <v>30</v>
      </c>
      <c r="B15" s="1" t="str" cm="1">
        <f t="array" ref="B15">_xlfn.LET(_xlpm.x,_xlfn.TEXTSPLIT(TRIM(A15)," "),INDEX(_xlpm.x,1,COLUMNS(_xlpm.x)-1))</f>
        <v>Oporto</v>
      </c>
      <c r="C15" s="1" t="str">
        <f>+_xlfn.IFNA(VLOOKUP(Tabla_1[[#This Row],[Nombre Estudiante]],OMEGA!$A$2:$B$28,2,0),"NA")</f>
        <v>19792944-8</v>
      </c>
      <c r="D15" s="1">
        <v>1</v>
      </c>
      <c r="E15" s="1">
        <v>1</v>
      </c>
      <c r="F15" s="1">
        <v>1</v>
      </c>
      <c r="G15" s="1">
        <v>1</v>
      </c>
      <c r="H15" s="1">
        <v>1</v>
      </c>
      <c r="I15" s="1">
        <v>1</v>
      </c>
      <c r="J15" s="1">
        <v>1</v>
      </c>
      <c r="K15" s="1">
        <v>1</v>
      </c>
      <c r="L15" s="1">
        <v>1</v>
      </c>
      <c r="M15" s="1">
        <v>1</v>
      </c>
      <c r="N15" s="1">
        <v>1</v>
      </c>
      <c r="O15" s="1">
        <v>1</v>
      </c>
      <c r="P15" s="1">
        <v>1</v>
      </c>
      <c r="Q15" s="1">
        <v>1</v>
      </c>
      <c r="R15" s="1">
        <v>0.8</v>
      </c>
      <c r="S15" s="1">
        <v>1</v>
      </c>
      <c r="T15" s="1">
        <v>0.3</v>
      </c>
      <c r="U15" s="1">
        <v>0</v>
      </c>
      <c r="V15" s="1">
        <f t="shared" si="0"/>
        <v>16.100000000000001</v>
      </c>
      <c r="W15" s="1">
        <v>0</v>
      </c>
      <c r="X15" s="1">
        <f>+Tabla_1[[#This Row],[Bonus]]+Tabla_1[[#This Row],[PT]]</f>
        <v>16.100000000000001</v>
      </c>
      <c r="Y15" s="2">
        <f>IF(Tabla_1[[#This Row],[PF]]&gt;18,7,(Tabla_1[[#This Row],[PF]]/18)*6+1)</f>
        <v>6.3666666666666671</v>
      </c>
      <c r="Z15" s="1" t="s">
        <v>57</v>
      </c>
      <c r="AA15" s="1">
        <v>2</v>
      </c>
      <c r="AB15" s="2">
        <f>+Tabla_1[[#This Row],[Nota Preliminar]]-Tabla_1[[#This Row],[Descuento]]</f>
        <v>4.3666666666666671</v>
      </c>
      <c r="AC15" s="1" t="s">
        <v>23</v>
      </c>
      <c r="AD15" s="1"/>
      <c r="AE15" s="1" t="s">
        <v>31</v>
      </c>
    </row>
    <row r="16" spans="1:31" ht="22.5" customHeight="1" x14ac:dyDescent="0.25">
      <c r="A16" s="1" t="s">
        <v>40</v>
      </c>
      <c r="B16" s="1" t="str" cm="1">
        <f t="array" ref="B16">_xlfn.LET(_xlpm.x,_xlfn.TEXTSPLIT(TRIM(A16)," "),INDEX(_xlpm.x,1,COLUMNS(_xlpm.x)-1))</f>
        <v>Orellana</v>
      </c>
      <c r="C16" s="1" t="str">
        <f>+_xlfn.IFNA(VLOOKUP(Tabla_1[[#This Row],[Nombre Estudiante]],OMEGA!$A$2:$B$28,2,0),"NA")</f>
        <v>18475781-8</v>
      </c>
      <c r="D16" s="1">
        <v>1</v>
      </c>
      <c r="E16" s="1">
        <v>1</v>
      </c>
      <c r="F16" s="1">
        <v>1</v>
      </c>
      <c r="G16" s="1">
        <v>1</v>
      </c>
      <c r="H16" s="1">
        <v>1</v>
      </c>
      <c r="I16" s="1">
        <v>1</v>
      </c>
      <c r="J16" s="1">
        <v>1</v>
      </c>
      <c r="K16" s="1">
        <v>1</v>
      </c>
      <c r="L16" s="1">
        <v>1</v>
      </c>
      <c r="M16" s="1">
        <v>1</v>
      </c>
      <c r="N16" s="1">
        <v>1</v>
      </c>
      <c r="O16" s="1">
        <v>1</v>
      </c>
      <c r="P16" s="1">
        <v>1</v>
      </c>
      <c r="Q16" s="1">
        <v>1</v>
      </c>
      <c r="R16" s="1">
        <v>1</v>
      </c>
      <c r="S16" s="1">
        <v>1</v>
      </c>
      <c r="T16" s="1">
        <v>1</v>
      </c>
      <c r="U16" s="1">
        <v>1</v>
      </c>
      <c r="V16" s="1">
        <f t="shared" si="0"/>
        <v>18</v>
      </c>
      <c r="W16" s="1">
        <v>1</v>
      </c>
      <c r="X16" s="1">
        <f>+Tabla_1[[#This Row],[Bonus]]+Tabla_1[[#This Row],[PT]]</f>
        <v>19</v>
      </c>
      <c r="Y16" s="2">
        <f>IF(Tabla_1[[#This Row],[PF]]&gt;18,7,(Tabla_1[[#This Row],[PF]]/18)*6+1)</f>
        <v>7</v>
      </c>
      <c r="Z16" s="1"/>
      <c r="AA16" s="1"/>
      <c r="AB16" s="2">
        <f>+Tabla_1[[#This Row],[Nota Preliminar]]-Tabla_1[[#This Row],[Descuento]]</f>
        <v>7</v>
      </c>
      <c r="AC16" s="1"/>
      <c r="AD16" s="1">
        <v>7</v>
      </c>
      <c r="AE16" s="1" t="s">
        <v>5</v>
      </c>
    </row>
    <row r="17" spans="1:31" ht="22.5" customHeight="1" x14ac:dyDescent="0.25">
      <c r="A17" s="1" t="s">
        <v>4</v>
      </c>
      <c r="B17" s="1" t="str" cm="1">
        <f t="array" ref="B17">_xlfn.LET(_xlpm.x,_xlfn.TEXTSPLIT(TRIM(A17)," "),INDEX(_xlpm.x,1,COLUMNS(_xlpm.x)-1))</f>
        <v>Orrego</v>
      </c>
      <c r="C17" s="1" t="str">
        <f>+_xlfn.IFNA(VLOOKUP(Tabla_1[[#This Row],[Nombre Estudiante]],OMEGA!$A$2:$B$28,2,0),"NA")</f>
        <v>16545685-8</v>
      </c>
      <c r="D17" s="1">
        <v>1</v>
      </c>
      <c r="E17" s="1">
        <v>1</v>
      </c>
      <c r="F17" s="1">
        <v>1</v>
      </c>
      <c r="G17" s="1">
        <v>1</v>
      </c>
      <c r="H17" s="1">
        <v>1</v>
      </c>
      <c r="I17" s="1">
        <v>1</v>
      </c>
      <c r="J17" s="1">
        <v>1</v>
      </c>
      <c r="K17" s="1">
        <v>1</v>
      </c>
      <c r="L17" s="1">
        <v>1</v>
      </c>
      <c r="M17" s="1">
        <v>1</v>
      </c>
      <c r="N17" s="1">
        <v>1</v>
      </c>
      <c r="O17" s="1">
        <v>1</v>
      </c>
      <c r="P17" s="1">
        <v>1</v>
      </c>
      <c r="Q17" s="1">
        <v>1</v>
      </c>
      <c r="R17" s="1">
        <v>1</v>
      </c>
      <c r="S17" s="1">
        <v>1</v>
      </c>
      <c r="T17" s="1">
        <v>1</v>
      </c>
      <c r="U17" s="1">
        <v>1</v>
      </c>
      <c r="V17" s="1">
        <f t="shared" si="0"/>
        <v>18</v>
      </c>
      <c r="W17" s="1">
        <v>1</v>
      </c>
      <c r="X17" s="1">
        <f>+Tabla_1[[#This Row],[Bonus]]+Tabla_1[[#This Row],[PT]]</f>
        <v>19</v>
      </c>
      <c r="Y17" s="2">
        <f>IF(Tabla_1[[#This Row],[PF]]&gt;18,7,(Tabla_1[[#This Row],[PF]]/18)*6+1)</f>
        <v>7</v>
      </c>
      <c r="Z17" s="1"/>
      <c r="AA17" s="1"/>
      <c r="AB17" s="2">
        <f>+Tabla_1[[#This Row],[Nota Preliminar]]-Tabla_1[[#This Row],[Descuento]]</f>
        <v>7</v>
      </c>
      <c r="AC17" s="1"/>
      <c r="AD17" s="1">
        <v>7</v>
      </c>
      <c r="AE17" s="1" t="s">
        <v>5</v>
      </c>
    </row>
    <row r="18" spans="1:31" ht="22.5" customHeight="1" x14ac:dyDescent="0.25">
      <c r="A18" s="1" t="s">
        <v>6</v>
      </c>
      <c r="B18" s="1" t="str" cm="1">
        <f t="array" ref="B18">_xlfn.LET(_xlpm.x,_xlfn.TEXTSPLIT(TRIM(A18)," "),INDEX(_xlpm.x,1,COLUMNS(_xlpm.x)-1))</f>
        <v>Osorio</v>
      </c>
      <c r="C18" s="1" t="str">
        <f>+_xlfn.IFNA(VLOOKUP(Tabla_1[[#This Row],[Nombre Estudiante]],OMEGA!$A$2:$B$28,2,0),"NA")</f>
        <v>21314066-3</v>
      </c>
      <c r="D18" s="1">
        <v>1</v>
      </c>
      <c r="E18" s="1">
        <v>1</v>
      </c>
      <c r="F18" s="1">
        <v>1</v>
      </c>
      <c r="G18" s="1">
        <v>1</v>
      </c>
      <c r="H18" s="1">
        <v>1</v>
      </c>
      <c r="I18" s="1">
        <v>1</v>
      </c>
      <c r="J18" s="1">
        <v>1</v>
      </c>
      <c r="K18" s="1">
        <v>1</v>
      </c>
      <c r="L18" s="1">
        <v>1</v>
      </c>
      <c r="M18" s="1">
        <v>1</v>
      </c>
      <c r="N18" s="1">
        <v>1</v>
      </c>
      <c r="O18" s="1">
        <v>1</v>
      </c>
      <c r="P18" s="1">
        <v>1</v>
      </c>
      <c r="Q18" s="1">
        <v>1</v>
      </c>
      <c r="R18" s="1">
        <v>1</v>
      </c>
      <c r="S18" s="1">
        <v>1</v>
      </c>
      <c r="T18" s="1">
        <v>1</v>
      </c>
      <c r="U18" s="1">
        <v>1</v>
      </c>
      <c r="V18" s="1">
        <f t="shared" si="0"/>
        <v>18</v>
      </c>
      <c r="W18" s="1">
        <v>1</v>
      </c>
      <c r="X18" s="1">
        <f>+Tabla_1[[#This Row],[Bonus]]+Tabla_1[[#This Row],[PT]]</f>
        <v>19</v>
      </c>
      <c r="Y18" s="2">
        <f>IF(Tabla_1[[#This Row],[PF]]&gt;18,7,(Tabla_1[[#This Row],[PF]]/18)*6+1)</f>
        <v>7</v>
      </c>
      <c r="Z18" s="1"/>
      <c r="AA18" s="1"/>
      <c r="AB18" s="2">
        <f>+Tabla_1[[#This Row],[Nota Preliminar]]-Tabla_1[[#This Row],[Descuento]]</f>
        <v>7</v>
      </c>
      <c r="AC18" s="1"/>
      <c r="AD18" s="1">
        <v>7</v>
      </c>
      <c r="AE18" s="1" t="s">
        <v>5</v>
      </c>
    </row>
    <row r="19" spans="1:31" ht="22.5" customHeight="1" x14ac:dyDescent="0.25">
      <c r="A19" s="1" t="s">
        <v>28</v>
      </c>
      <c r="B19" s="1" t="str" cm="1">
        <f t="array" ref="B19">_xlfn.LET(_xlpm.x,_xlfn.TEXTSPLIT(TRIM(A19)," "),INDEX(_xlpm.x,1,COLUMNS(_xlpm.x)-1))</f>
        <v>Pino</v>
      </c>
      <c r="C19" s="1" t="str">
        <f>+_xlfn.IFNA(VLOOKUP(Tabla_1[[#This Row],[Nombre Estudiante]],OMEGA!$A$2:$B$28,2,0),"NA")</f>
        <v>18356787-K</v>
      </c>
      <c r="D19" s="1">
        <v>1</v>
      </c>
      <c r="E19" s="1">
        <v>1</v>
      </c>
      <c r="F19" s="1">
        <v>1</v>
      </c>
      <c r="G19" s="1">
        <v>1</v>
      </c>
      <c r="H19" s="1">
        <v>1</v>
      </c>
      <c r="I19" s="1">
        <v>1</v>
      </c>
      <c r="J19" s="1">
        <v>1</v>
      </c>
      <c r="K19" s="1">
        <v>1</v>
      </c>
      <c r="L19" s="1">
        <v>1</v>
      </c>
      <c r="M19" s="1">
        <v>1</v>
      </c>
      <c r="N19" s="1">
        <v>1</v>
      </c>
      <c r="O19" s="1">
        <v>1</v>
      </c>
      <c r="P19" s="1">
        <v>1</v>
      </c>
      <c r="Q19" s="1">
        <v>1</v>
      </c>
      <c r="R19" s="1">
        <v>1</v>
      </c>
      <c r="S19" s="1">
        <v>1</v>
      </c>
      <c r="T19" s="1">
        <v>1</v>
      </c>
      <c r="U19" s="1">
        <v>1</v>
      </c>
      <c r="V19" s="1">
        <f t="shared" si="0"/>
        <v>18</v>
      </c>
      <c r="W19" s="1">
        <v>1</v>
      </c>
      <c r="X19" s="1">
        <f>+Tabla_1[[#This Row],[Bonus]]+Tabla_1[[#This Row],[PT]]</f>
        <v>19</v>
      </c>
      <c r="Y19" s="2">
        <f>IF(Tabla_1[[#This Row],[PF]]&gt;18,7,(Tabla_1[[#This Row],[PF]]/18)*6+1)</f>
        <v>7</v>
      </c>
      <c r="Z19" s="1"/>
      <c r="AA19" s="1"/>
      <c r="AB19" s="2">
        <f>+Tabla_1[[#This Row],[Nota Preliminar]]-Tabla_1[[#This Row],[Descuento]]</f>
        <v>7</v>
      </c>
      <c r="AC19" s="1"/>
      <c r="AD19" s="1">
        <v>7</v>
      </c>
      <c r="AE19" s="1" t="s">
        <v>29</v>
      </c>
    </row>
    <row r="20" spans="1:31" ht="22.5" customHeight="1" x14ac:dyDescent="0.25">
      <c r="A20" s="1" t="s">
        <v>20</v>
      </c>
      <c r="B20" s="1" t="str" cm="1">
        <f t="array" ref="B20">_xlfn.LET(_xlpm.x,_xlfn.TEXTSPLIT(TRIM(A20)," "),INDEX(_xlpm.x,1,COLUMNS(_xlpm.x)-1))</f>
        <v>Reiche</v>
      </c>
      <c r="C20" s="1" t="str">
        <f>+_xlfn.IFNA(VLOOKUP(Tabla_1[[#This Row],[Nombre Estudiante]],OMEGA!$A$2:$B$28,2,0),"NA")</f>
        <v>NA</v>
      </c>
      <c r="D20" s="1">
        <v>1</v>
      </c>
      <c r="E20" s="1">
        <v>1</v>
      </c>
      <c r="F20" s="1">
        <v>1</v>
      </c>
      <c r="G20" s="1">
        <v>0</v>
      </c>
      <c r="H20" s="1">
        <v>0</v>
      </c>
      <c r="I20" s="1">
        <v>0</v>
      </c>
      <c r="J20" s="1">
        <v>0</v>
      </c>
      <c r="K20" s="1">
        <v>0</v>
      </c>
      <c r="L20" s="1">
        <v>0</v>
      </c>
      <c r="M20" s="1">
        <v>0</v>
      </c>
      <c r="N20" s="1">
        <v>0</v>
      </c>
      <c r="O20" s="1">
        <v>0</v>
      </c>
      <c r="P20" s="1">
        <v>0</v>
      </c>
      <c r="Q20" s="1">
        <v>0</v>
      </c>
      <c r="R20" s="1">
        <v>0</v>
      </c>
      <c r="S20" s="1">
        <v>0</v>
      </c>
      <c r="T20" s="1">
        <v>0</v>
      </c>
      <c r="U20" s="1">
        <v>0</v>
      </c>
      <c r="V20" s="1">
        <f t="shared" si="0"/>
        <v>3</v>
      </c>
      <c r="W20" s="1">
        <v>0</v>
      </c>
      <c r="X20" s="1">
        <f>+Tabla_1[[#This Row],[Bonus]]+Tabla_1[[#This Row],[PT]]</f>
        <v>3</v>
      </c>
      <c r="Y20" s="2">
        <f>IF(Tabla_1[[#This Row],[PF]]&gt;18,7,(Tabla_1[[#This Row],[PF]]/18)*6+1)</f>
        <v>2</v>
      </c>
      <c r="Z20" s="1"/>
      <c r="AA20" s="1"/>
      <c r="AB20" s="2">
        <f>+Tabla_1[[#This Row],[Nota Preliminar]]-Tabla_1[[#This Row],[Descuento]]</f>
        <v>2</v>
      </c>
      <c r="AC20" s="1"/>
      <c r="AD20" s="1">
        <v>2</v>
      </c>
      <c r="AE20" s="1" t="s">
        <v>21</v>
      </c>
    </row>
    <row r="21" spans="1:31" ht="22.5" customHeight="1" x14ac:dyDescent="0.25">
      <c r="A21" s="12" t="s">
        <v>46</v>
      </c>
      <c r="B21" s="13" t="str" cm="1">
        <f t="array" ref="B21">_xlfn.LET(_xlpm.x,_xlfn.TEXTSPLIT(TRIM(A21)," "),INDEX(_xlpm.x,1,COLUMNS(_xlpm.x)-1))</f>
        <v>Riquelme</v>
      </c>
      <c r="C21" s="1" t="str">
        <f>+_xlfn.IFNA(VLOOKUP(Tabla_1[[#This Row],[Nombre Estudiante]],OMEGA!$A$2:$B$28,2,0),"NA")</f>
        <v>12909893-7</v>
      </c>
      <c r="D21" s="12">
        <v>0</v>
      </c>
      <c r="E21" s="12">
        <v>0</v>
      </c>
      <c r="F21" s="12">
        <v>0</v>
      </c>
      <c r="G21" s="12">
        <v>0</v>
      </c>
      <c r="H21" s="12">
        <v>0</v>
      </c>
      <c r="I21" s="12">
        <v>0</v>
      </c>
      <c r="J21" s="12">
        <v>0</v>
      </c>
      <c r="K21" s="12">
        <v>0</v>
      </c>
      <c r="L21" s="12">
        <v>0</v>
      </c>
      <c r="M21" s="12">
        <v>0</v>
      </c>
      <c r="N21" s="12">
        <v>0</v>
      </c>
      <c r="O21" s="12">
        <v>0</v>
      </c>
      <c r="P21" s="12">
        <v>0</v>
      </c>
      <c r="Q21" s="12">
        <v>0</v>
      </c>
      <c r="R21" s="12">
        <v>0</v>
      </c>
      <c r="S21" s="12">
        <v>0</v>
      </c>
      <c r="T21" s="12">
        <v>0</v>
      </c>
      <c r="U21" s="12">
        <v>0</v>
      </c>
      <c r="V21" s="13">
        <f t="shared" si="0"/>
        <v>0</v>
      </c>
      <c r="W21" s="12">
        <v>0</v>
      </c>
      <c r="X21" s="13">
        <f>+Tabla_1[[#This Row],[Bonus]]+Tabla_1[[#This Row],[PT]]</f>
        <v>0</v>
      </c>
      <c r="Y21" s="14">
        <f>IF(Tabla_1[[#This Row],[PF]]&gt;18,7,(Tabla_1[[#This Row],[PF]]/18)*6+1)</f>
        <v>1</v>
      </c>
      <c r="Z21" s="12"/>
      <c r="AA21" s="12"/>
      <c r="AB21" s="15">
        <f>+Tabla_1[[#This Row],[Nota Preliminar]]-Tabla_1[[#This Row],[Descuento]]</f>
        <v>1</v>
      </c>
      <c r="AC21" s="12"/>
      <c r="AD21" s="12"/>
      <c r="AE21" s="12"/>
    </row>
    <row r="22" spans="1:31" ht="22.5" customHeight="1" x14ac:dyDescent="0.25">
      <c r="A22" s="1" t="s">
        <v>45</v>
      </c>
      <c r="B22" s="1" t="str" cm="1">
        <f t="array" ref="B22">_xlfn.LET(_xlpm.x,_xlfn.TEXTSPLIT(TRIM(A22)," "),INDEX(_xlpm.x,1,COLUMNS(_xlpm.x)-1))</f>
        <v>Rodriguez</v>
      </c>
      <c r="C22" s="1" t="str">
        <f>+_xlfn.IFNA(VLOOKUP(Tabla_1[[#This Row],[Nombre Estudiante]],OMEGA!$A$2:$B$28,2,0),"NA")</f>
        <v>12451950-0</v>
      </c>
      <c r="D22" s="1">
        <v>1</v>
      </c>
      <c r="E22" s="1">
        <v>1</v>
      </c>
      <c r="F22" s="1">
        <v>1</v>
      </c>
      <c r="G22" s="1">
        <v>1</v>
      </c>
      <c r="H22" s="1">
        <v>1</v>
      </c>
      <c r="I22" s="1">
        <v>1</v>
      </c>
      <c r="J22" s="1">
        <v>1</v>
      </c>
      <c r="K22" s="1">
        <v>1</v>
      </c>
      <c r="L22" s="1">
        <v>1</v>
      </c>
      <c r="M22" s="1">
        <v>1</v>
      </c>
      <c r="N22" s="1">
        <v>1</v>
      </c>
      <c r="O22" s="1">
        <v>1</v>
      </c>
      <c r="P22" s="1">
        <v>1</v>
      </c>
      <c r="Q22" s="1">
        <v>1</v>
      </c>
      <c r="R22" s="1">
        <v>1</v>
      </c>
      <c r="S22" s="1">
        <v>1</v>
      </c>
      <c r="T22" s="1">
        <v>1</v>
      </c>
      <c r="U22" s="1">
        <v>1</v>
      </c>
      <c r="V22" s="1">
        <f t="shared" si="0"/>
        <v>18</v>
      </c>
      <c r="W22" s="1">
        <v>1</v>
      </c>
      <c r="X22" s="1">
        <f>+Tabla_1[[#This Row],[Bonus]]+Tabla_1[[#This Row],[PT]]</f>
        <v>19</v>
      </c>
      <c r="Y22" s="2">
        <f>IF(Tabla_1[[#This Row],[PF]]&gt;18,7,(Tabla_1[[#This Row],[PF]]/18)*6+1)</f>
        <v>7</v>
      </c>
      <c r="Z22" s="1"/>
      <c r="AA22" s="1"/>
      <c r="AB22" s="2">
        <f>+Tabla_1[[#This Row],[Nota Preliminar]]-Tabla_1[[#This Row],[Descuento]]</f>
        <v>7</v>
      </c>
      <c r="AC22" s="1"/>
      <c r="AD22" s="1">
        <v>7</v>
      </c>
      <c r="AE22" s="1" t="s">
        <v>42</v>
      </c>
    </row>
    <row r="23" spans="1:31" ht="22.5" customHeight="1" x14ac:dyDescent="0.25">
      <c r="A23" s="1" t="s">
        <v>47</v>
      </c>
      <c r="B23" s="1" t="str" cm="1">
        <f t="array" ref="B23">_xlfn.LET(_xlpm.x,_xlfn.TEXTSPLIT(TRIM(A23)," "),INDEX(_xlpm.x,1,COLUMNS(_xlpm.x)-1))</f>
        <v>Roncagliolo</v>
      </c>
      <c r="C23" s="1" t="str">
        <f>+_xlfn.IFNA(VLOOKUP(Tabla_1[[#This Row],[Nombre Estudiante]],OMEGA!$A$2:$B$28,2,0),"NA")</f>
        <v>15363900-0</v>
      </c>
      <c r="D23" s="1">
        <v>1</v>
      </c>
      <c r="E23" s="1">
        <v>1</v>
      </c>
      <c r="F23" s="1">
        <v>1</v>
      </c>
      <c r="G23" s="1">
        <v>0.8</v>
      </c>
      <c r="H23" s="1">
        <v>1</v>
      </c>
      <c r="I23" s="1">
        <v>1</v>
      </c>
      <c r="J23" s="1">
        <v>1</v>
      </c>
      <c r="K23" s="1">
        <v>1</v>
      </c>
      <c r="L23" s="1">
        <v>1</v>
      </c>
      <c r="M23" s="1">
        <v>1</v>
      </c>
      <c r="N23" s="1">
        <v>0.3</v>
      </c>
      <c r="O23" s="1">
        <v>0.3</v>
      </c>
      <c r="P23" s="1">
        <v>0.3</v>
      </c>
      <c r="Q23" s="1">
        <v>1</v>
      </c>
      <c r="R23" s="1">
        <v>1</v>
      </c>
      <c r="S23" s="1">
        <v>1</v>
      </c>
      <c r="T23" s="1">
        <v>1</v>
      </c>
      <c r="U23" s="1">
        <v>1</v>
      </c>
      <c r="V23" s="1">
        <f t="shared" si="0"/>
        <v>15.700000000000003</v>
      </c>
      <c r="W23" s="1">
        <v>1</v>
      </c>
      <c r="X23" s="1">
        <f>+Tabla_1[[#This Row],[Bonus]]+Tabla_1[[#This Row],[PT]]</f>
        <v>16.700000000000003</v>
      </c>
      <c r="Y23" s="2">
        <f>IF(Tabla_1[[#This Row],[PF]]&gt;18,7,(Tabla_1[[#This Row],[PF]]/18)*6+1)</f>
        <v>6.5666666666666673</v>
      </c>
      <c r="Z23" s="1"/>
      <c r="AA23" s="1"/>
      <c r="AB23" s="2">
        <f>+Tabla_1[[#This Row],[Nota Preliminar]]-Tabla_1[[#This Row],[Descuento]]</f>
        <v>6.5666666666666673</v>
      </c>
      <c r="AC23" s="1"/>
      <c r="AD23" s="1">
        <v>7</v>
      </c>
      <c r="AE23" s="1" t="s">
        <v>48</v>
      </c>
    </row>
    <row r="24" spans="1:31" ht="22.5" customHeight="1" x14ac:dyDescent="0.25">
      <c r="A24" s="1" t="s">
        <v>43</v>
      </c>
      <c r="B24" s="1" t="str" cm="1">
        <f t="array" ref="B24">_xlfn.LET(_xlpm.x,_xlfn.TEXTSPLIT(TRIM(A24)," "),INDEX(_xlpm.x,1,COLUMNS(_xlpm.x)-1))</f>
        <v>Saavedra</v>
      </c>
      <c r="C24" s="1" t="str">
        <f>+_xlfn.IFNA(VLOOKUP(Tabla_1[[#This Row],[Nombre Estudiante]],OMEGA!$A$2:$B$28,2,0),"NA")</f>
        <v>18279059-1</v>
      </c>
      <c r="D24" s="1">
        <v>1</v>
      </c>
      <c r="E24" s="1">
        <v>1</v>
      </c>
      <c r="F24" s="1">
        <v>0.5</v>
      </c>
      <c r="G24" s="1">
        <v>0.3</v>
      </c>
      <c r="H24" s="1">
        <v>0.3</v>
      </c>
      <c r="I24" s="1">
        <v>0.3</v>
      </c>
      <c r="J24" s="1">
        <v>0.3</v>
      </c>
      <c r="K24" s="1">
        <v>0.3</v>
      </c>
      <c r="L24" s="1">
        <v>0.3</v>
      </c>
      <c r="M24" s="1">
        <v>1</v>
      </c>
      <c r="N24" s="1">
        <v>1</v>
      </c>
      <c r="O24" s="1">
        <v>1</v>
      </c>
      <c r="P24" s="1">
        <v>1</v>
      </c>
      <c r="Q24" s="1">
        <v>1</v>
      </c>
      <c r="R24" s="1">
        <v>1</v>
      </c>
      <c r="S24" s="1">
        <v>1</v>
      </c>
      <c r="T24" s="1">
        <v>1</v>
      </c>
      <c r="U24" s="1">
        <v>1</v>
      </c>
      <c r="V24" s="1">
        <f t="shared" si="0"/>
        <v>13.299999999999999</v>
      </c>
      <c r="W24" s="1">
        <v>1</v>
      </c>
      <c r="X24" s="1">
        <f>+Tabla_1[[#This Row],[Bonus]]+Tabla_1[[#This Row],[PT]]</f>
        <v>14.299999999999999</v>
      </c>
      <c r="Y24" s="2">
        <f>IF(Tabla_1[[#This Row],[PF]]&gt;18,7,(Tabla_1[[#This Row],[PF]]/18)*6+1)</f>
        <v>5.7666666666666666</v>
      </c>
      <c r="Z24" s="1" t="s">
        <v>56</v>
      </c>
      <c r="AA24" s="1">
        <v>0.5</v>
      </c>
      <c r="AB24" s="2">
        <f>+Tabla_1[[#This Row],[Nota Preliminar]]-Tabla_1[[#This Row],[Descuento]]</f>
        <v>5.2666666666666666</v>
      </c>
      <c r="AC24" s="1" t="s">
        <v>23</v>
      </c>
      <c r="AD24" s="1"/>
      <c r="AE24" s="1" t="s">
        <v>44</v>
      </c>
    </row>
    <row r="25" spans="1:31" ht="22.5" customHeight="1" x14ac:dyDescent="0.25">
      <c r="A25" s="1" t="s">
        <v>17</v>
      </c>
      <c r="B25" s="1" t="str" cm="1">
        <f t="array" ref="B25">_xlfn.LET(_xlpm.x,_xlfn.TEXTSPLIT(TRIM(A25)," "),INDEX(_xlpm.x,1,COLUMNS(_xlpm.x)-1))</f>
        <v>Serrano</v>
      </c>
      <c r="C25" s="1" t="str">
        <f>+_xlfn.IFNA(VLOOKUP(Tabla_1[[#This Row],[Nombre Estudiante]],OMEGA!$A$2:$B$28,2,0),"NA")</f>
        <v>13292585-2</v>
      </c>
      <c r="D25" s="1">
        <v>1</v>
      </c>
      <c r="E25" s="1">
        <v>1</v>
      </c>
      <c r="F25" s="1">
        <v>1</v>
      </c>
      <c r="G25" s="1">
        <v>1</v>
      </c>
      <c r="H25" s="1">
        <v>1</v>
      </c>
      <c r="I25" s="1">
        <v>1</v>
      </c>
      <c r="J25" s="1">
        <v>1</v>
      </c>
      <c r="K25" s="1">
        <v>1</v>
      </c>
      <c r="L25" s="1">
        <v>1</v>
      </c>
      <c r="M25" s="1">
        <v>1</v>
      </c>
      <c r="N25" s="1">
        <v>1</v>
      </c>
      <c r="O25" s="1">
        <v>1</v>
      </c>
      <c r="P25" s="1">
        <v>1</v>
      </c>
      <c r="Q25" s="1">
        <v>1</v>
      </c>
      <c r="R25" s="1">
        <v>1</v>
      </c>
      <c r="S25" s="1">
        <v>1</v>
      </c>
      <c r="T25" s="1">
        <v>1</v>
      </c>
      <c r="U25" s="1">
        <v>1</v>
      </c>
      <c r="V25" s="1">
        <f t="shared" si="0"/>
        <v>18</v>
      </c>
      <c r="W25" s="1">
        <v>1</v>
      </c>
      <c r="X25" s="1">
        <f>+Tabla_1[[#This Row],[Bonus]]+Tabla_1[[#This Row],[PT]]</f>
        <v>19</v>
      </c>
      <c r="Y25" s="2">
        <f>IF(Tabla_1[[#This Row],[PF]]&gt;18,7,(Tabla_1[[#This Row],[PF]]/18)*6+1)</f>
        <v>7</v>
      </c>
      <c r="Z25" s="1"/>
      <c r="AA25" s="1"/>
      <c r="AB25" s="2">
        <f>+Tabla_1[[#This Row],[Nota Preliminar]]-Tabla_1[[#This Row],[Descuento]]</f>
        <v>7</v>
      </c>
      <c r="AC25" s="1"/>
      <c r="AD25" s="1">
        <v>7</v>
      </c>
      <c r="AE25" s="1" t="s">
        <v>5</v>
      </c>
    </row>
    <row r="26" spans="1:31" ht="22.5" customHeight="1" x14ac:dyDescent="0.25">
      <c r="A26" s="1" t="s">
        <v>26</v>
      </c>
      <c r="B26" s="1" t="str" cm="1">
        <f t="array" ref="B26">_xlfn.LET(_xlpm.x,_xlfn.TEXTSPLIT(TRIM(A26)," "),INDEX(_xlpm.x,1,COLUMNS(_xlpm.x)-1))</f>
        <v>Silva</v>
      </c>
      <c r="C26" s="1" t="str">
        <f>+_xlfn.IFNA(VLOOKUP(Tabla_1[[#This Row],[Nombre Estudiante]],OMEGA!$A$2:$B$28,2,0),"NA")</f>
        <v>12242293-3</v>
      </c>
      <c r="D26" s="1">
        <v>1</v>
      </c>
      <c r="E26" s="1">
        <v>1</v>
      </c>
      <c r="F26" s="1">
        <v>0.5</v>
      </c>
      <c r="G26" s="1">
        <v>0.3</v>
      </c>
      <c r="H26" s="1">
        <v>0.3</v>
      </c>
      <c r="I26" s="1">
        <v>0.3</v>
      </c>
      <c r="J26" s="1">
        <v>0.3</v>
      </c>
      <c r="K26" s="1">
        <v>0.3</v>
      </c>
      <c r="L26" s="1">
        <v>0.3</v>
      </c>
      <c r="M26" s="1">
        <v>1</v>
      </c>
      <c r="N26" s="1">
        <v>1</v>
      </c>
      <c r="O26" s="1">
        <v>1</v>
      </c>
      <c r="P26" s="1">
        <v>1</v>
      </c>
      <c r="Q26" s="1">
        <v>1</v>
      </c>
      <c r="R26" s="1">
        <v>1</v>
      </c>
      <c r="S26" s="1">
        <v>1</v>
      </c>
      <c r="T26" s="1">
        <v>1</v>
      </c>
      <c r="U26" s="1">
        <v>1</v>
      </c>
      <c r="V26" s="1">
        <f t="shared" si="0"/>
        <v>13.299999999999999</v>
      </c>
      <c r="W26" s="1">
        <v>0</v>
      </c>
      <c r="X26" s="1">
        <f>+Tabla_1[[#This Row],[Bonus]]+Tabla_1[[#This Row],[PT]]</f>
        <v>13.299999999999999</v>
      </c>
      <c r="Y26" s="2">
        <f>IF(Tabla_1[[#This Row],[PF]]&gt;18,7,(Tabla_1[[#This Row],[PF]]/18)*6+1)</f>
        <v>5.4333333333333327</v>
      </c>
      <c r="Z26" s="1"/>
      <c r="AA26" s="1"/>
      <c r="AB26" s="2">
        <f>+Tabla_1[[#This Row],[Nota Preliminar]]-Tabla_1[[#This Row],[Descuento]]</f>
        <v>5.4333333333333327</v>
      </c>
      <c r="AC26" s="1"/>
      <c r="AD26" s="1">
        <v>5.4</v>
      </c>
      <c r="AE26" s="1" t="s">
        <v>27</v>
      </c>
    </row>
    <row r="27" spans="1:31" ht="22.5" customHeight="1" x14ac:dyDescent="0.25">
      <c r="A27" s="1" t="s">
        <v>19</v>
      </c>
      <c r="B27" s="1" t="str" cm="1">
        <f t="array" ref="B27">_xlfn.LET(_xlpm.x,_xlfn.TEXTSPLIT(TRIM(A27)," "),INDEX(_xlpm.x,1,COLUMNS(_xlpm.x)-1))</f>
        <v>Toro</v>
      </c>
      <c r="C27" s="1" t="str">
        <f>+_xlfn.IFNA(VLOOKUP(Tabla_1[[#This Row],[Nombre Estudiante]],OMEGA!$A$2:$B$28,2,0),"NA")</f>
        <v>18904767-3</v>
      </c>
      <c r="D27" s="1">
        <v>1</v>
      </c>
      <c r="E27" s="1">
        <v>1</v>
      </c>
      <c r="F27" s="1">
        <v>1</v>
      </c>
      <c r="G27" s="1">
        <v>1</v>
      </c>
      <c r="H27" s="1">
        <v>1</v>
      </c>
      <c r="I27" s="1">
        <v>1</v>
      </c>
      <c r="J27" s="1">
        <v>1</v>
      </c>
      <c r="K27" s="1">
        <v>1</v>
      </c>
      <c r="L27" s="1">
        <v>1</v>
      </c>
      <c r="M27" s="1">
        <v>1</v>
      </c>
      <c r="N27" s="1">
        <v>1</v>
      </c>
      <c r="O27" s="1">
        <v>1</v>
      </c>
      <c r="P27" s="1">
        <v>1</v>
      </c>
      <c r="Q27" s="1">
        <v>1</v>
      </c>
      <c r="R27" s="1">
        <v>1</v>
      </c>
      <c r="S27" s="1">
        <v>1</v>
      </c>
      <c r="T27" s="1">
        <v>1</v>
      </c>
      <c r="U27" s="1">
        <v>1</v>
      </c>
      <c r="V27" s="1">
        <f t="shared" si="0"/>
        <v>18</v>
      </c>
      <c r="W27" s="1">
        <v>1</v>
      </c>
      <c r="X27" s="1">
        <f>+Tabla_1[[#This Row],[Bonus]]+Tabla_1[[#This Row],[PT]]</f>
        <v>19</v>
      </c>
      <c r="Y27" s="2">
        <f>IF(Tabla_1[[#This Row],[PF]]&gt;18,7,(Tabla_1[[#This Row],[PF]]/18)*6+1)</f>
        <v>7</v>
      </c>
      <c r="Z27" s="1"/>
      <c r="AA27" s="1"/>
      <c r="AB27" s="2">
        <f>+Tabla_1[[#This Row],[Nota Preliminar]]-Tabla_1[[#This Row],[Descuento]]</f>
        <v>7</v>
      </c>
      <c r="AC27" s="1"/>
      <c r="AD27" s="1">
        <v>7</v>
      </c>
      <c r="AE27" s="1" t="s">
        <v>5</v>
      </c>
    </row>
    <row r="28" spans="1:31" ht="22.5" customHeight="1" x14ac:dyDescent="0.25">
      <c r="A28" s="1" t="s">
        <v>7</v>
      </c>
      <c r="B28" s="1" t="str" cm="1">
        <f t="array" ref="B28">_xlfn.LET(_xlpm.x,_xlfn.TEXTSPLIT(TRIM(A28)," "),INDEX(_xlpm.x,1,COLUMNS(_xlpm.x)-1))</f>
        <v>Tucas</v>
      </c>
      <c r="C28" s="1" t="str">
        <f>+_xlfn.IFNA(VLOOKUP(Tabla_1[[#This Row],[Nombre Estudiante]],OMEGA!$A$2:$B$28,2,0),"NA")</f>
        <v>7260224-2</v>
      </c>
      <c r="D28" s="1">
        <v>1</v>
      </c>
      <c r="E28" s="1">
        <v>1</v>
      </c>
      <c r="F28" s="1">
        <v>1</v>
      </c>
      <c r="G28" s="1">
        <v>1</v>
      </c>
      <c r="H28" s="1">
        <v>1</v>
      </c>
      <c r="I28" s="1">
        <v>1</v>
      </c>
      <c r="J28" s="1">
        <v>1</v>
      </c>
      <c r="K28" s="1">
        <v>0.8</v>
      </c>
      <c r="L28" s="1">
        <v>0.8</v>
      </c>
      <c r="M28" s="1">
        <v>1</v>
      </c>
      <c r="N28" s="1">
        <v>1</v>
      </c>
      <c r="O28" s="1">
        <v>1</v>
      </c>
      <c r="P28" s="1">
        <v>1</v>
      </c>
      <c r="Q28" s="1">
        <v>1</v>
      </c>
      <c r="R28" s="1">
        <v>1</v>
      </c>
      <c r="S28" s="1">
        <v>1</v>
      </c>
      <c r="T28" s="1">
        <v>0.8</v>
      </c>
      <c r="U28" s="1">
        <v>0.8</v>
      </c>
      <c r="V28" s="1">
        <f t="shared" si="0"/>
        <v>17.2</v>
      </c>
      <c r="W28" s="1">
        <v>0</v>
      </c>
      <c r="X28" s="1">
        <f>+Tabla_1[[#This Row],[Bonus]]+Tabla_1[[#This Row],[PT]]</f>
        <v>17.2</v>
      </c>
      <c r="Y28" s="2">
        <f>IF(Tabla_1[[#This Row],[PF]]&gt;18,7,(Tabla_1[[#This Row],[PF]]/18)*6+1)</f>
        <v>6.7333333333333325</v>
      </c>
      <c r="Z28" s="1"/>
      <c r="AA28" s="1"/>
      <c r="AB28" s="2">
        <f>+Tabla_1[[#This Row],[Nota Preliminar]]-Tabla_1[[#This Row],[Descuento]]</f>
        <v>6.7333333333333325</v>
      </c>
      <c r="AC28" s="1"/>
      <c r="AD28" s="1">
        <v>6.7</v>
      </c>
      <c r="AE28" s="1" t="s">
        <v>8</v>
      </c>
    </row>
    <row r="29" spans="1:31" ht="22.5" customHeight="1" x14ac:dyDescent="0.25">
      <c r="A29" s="1" t="s">
        <v>13</v>
      </c>
      <c r="B29" s="1" t="str" cm="1">
        <f t="array" ref="B29">_xlfn.LET(_xlpm.x,_xlfn.TEXTSPLIT(TRIM(A29)," "),INDEX(_xlpm.x,1,COLUMNS(_xlpm.x)-1))</f>
        <v>Vargas</v>
      </c>
      <c r="C29" s="1" t="str">
        <f>+_xlfn.IFNA(VLOOKUP(Tabla_1[[#This Row],[Nombre Estudiante]],OMEGA!$A$2:$B$28,2,0),"NA")</f>
        <v>18210507-4</v>
      </c>
      <c r="D29" s="1">
        <v>1</v>
      </c>
      <c r="E29" s="1">
        <v>1</v>
      </c>
      <c r="F29" s="1">
        <v>1</v>
      </c>
      <c r="G29" s="1">
        <v>1</v>
      </c>
      <c r="H29" s="1">
        <v>1</v>
      </c>
      <c r="I29" s="1">
        <v>1</v>
      </c>
      <c r="J29" s="1">
        <v>1</v>
      </c>
      <c r="K29" s="1">
        <v>1</v>
      </c>
      <c r="L29" s="1">
        <v>1</v>
      </c>
      <c r="M29" s="1">
        <v>1</v>
      </c>
      <c r="N29" s="1">
        <v>1</v>
      </c>
      <c r="O29" s="1">
        <v>1</v>
      </c>
      <c r="P29" s="1">
        <v>1</v>
      </c>
      <c r="Q29" s="1">
        <v>1</v>
      </c>
      <c r="R29" s="1">
        <v>0.6</v>
      </c>
      <c r="S29" s="1">
        <v>1</v>
      </c>
      <c r="T29" s="1">
        <v>1</v>
      </c>
      <c r="U29" s="1">
        <v>1</v>
      </c>
      <c r="V29" s="1">
        <f t="shared" si="0"/>
        <v>17.600000000000001</v>
      </c>
      <c r="W29" s="1">
        <v>1</v>
      </c>
      <c r="X29" s="1">
        <f>+Tabla_1[[#This Row],[Bonus]]+Tabla_1[[#This Row],[PT]]</f>
        <v>18.600000000000001</v>
      </c>
      <c r="Y29" s="2">
        <f>IF(Tabla_1[[#This Row],[PF]]&gt;18,7,(Tabla_1[[#This Row],[PF]]/18)*6+1)</f>
        <v>7</v>
      </c>
      <c r="Z29" s="1"/>
      <c r="AA29" s="1"/>
      <c r="AB29" s="2">
        <f>+Tabla_1[[#This Row],[Nota Preliminar]]-Tabla_1[[#This Row],[Descuento]]</f>
        <v>7</v>
      </c>
      <c r="AC29" s="1"/>
      <c r="AD29" s="1">
        <v>7</v>
      </c>
      <c r="AE29" s="1" t="s">
        <v>14</v>
      </c>
    </row>
    <row r="30" spans="1:31" ht="22.5" customHeight="1" x14ac:dyDescent="0.25">
      <c r="A30" s="1" t="s">
        <v>41</v>
      </c>
      <c r="B30" s="1" t="str" cm="1">
        <f t="array" ref="B30">_xlfn.LET(_xlpm.x,_xlfn.TEXTSPLIT(TRIM(A30)," "),INDEX(_xlpm.x,1,COLUMNS(_xlpm.x)-1))</f>
        <v>Vera</v>
      </c>
      <c r="C30" s="1" t="str">
        <f>+_xlfn.IFNA(VLOOKUP(Tabla_1[[#This Row],[Nombre Estudiante]],OMEGA!$A$2:$B$28,2,0),"NA")</f>
        <v>13045178-0</v>
      </c>
      <c r="D30" s="1">
        <v>1</v>
      </c>
      <c r="E30" s="1">
        <v>1</v>
      </c>
      <c r="F30" s="1">
        <v>1</v>
      </c>
      <c r="G30" s="1">
        <v>1</v>
      </c>
      <c r="H30" s="1">
        <v>1</v>
      </c>
      <c r="I30" s="1">
        <v>1</v>
      </c>
      <c r="J30" s="1">
        <v>1</v>
      </c>
      <c r="K30" s="1">
        <v>1</v>
      </c>
      <c r="L30" s="1">
        <v>1</v>
      </c>
      <c r="M30" s="1">
        <v>1</v>
      </c>
      <c r="N30" s="1">
        <v>1</v>
      </c>
      <c r="O30" s="1">
        <v>1</v>
      </c>
      <c r="P30" s="1">
        <v>1</v>
      </c>
      <c r="Q30" s="1">
        <v>1</v>
      </c>
      <c r="R30" s="1">
        <v>1</v>
      </c>
      <c r="S30" s="1">
        <v>1</v>
      </c>
      <c r="T30" s="1">
        <v>1</v>
      </c>
      <c r="U30" s="1">
        <v>1</v>
      </c>
      <c r="V30" s="1">
        <f t="shared" si="0"/>
        <v>18</v>
      </c>
      <c r="W30" s="1">
        <v>1</v>
      </c>
      <c r="X30" s="1">
        <f>+Tabla_1[[#This Row],[Bonus]]+Tabla_1[[#This Row],[PT]]</f>
        <v>19</v>
      </c>
      <c r="Y30" s="2">
        <f>IF(Tabla_1[[#This Row],[PF]]&gt;18,7,(Tabla_1[[#This Row],[PF]]/18)*6+1)</f>
        <v>7</v>
      </c>
      <c r="Z30" s="1"/>
      <c r="AA30" s="1"/>
      <c r="AB30" s="2">
        <f>+Tabla_1[[#This Row],[Nota Preliminar]]-Tabla_1[[#This Row],[Descuento]]</f>
        <v>7</v>
      </c>
      <c r="AC30" s="1"/>
      <c r="AD30" s="1">
        <v>7</v>
      </c>
      <c r="AE30" s="1" t="s">
        <v>42</v>
      </c>
    </row>
  </sheetData>
  <phoneticPr fontId="2" type="noConversion"/>
  <conditionalFormatting sqref="Y2:Y30">
    <cfRule type="cellIs" dxfId="5" priority="1" operator="greaterThanOrEqual">
      <formula>4</formula>
    </cfRule>
    <cfRule type="cellIs" dxfId="4" priority="2" operator="lessThan">
      <formula>4</formula>
    </cfRule>
  </conditionalFormatting>
  <conditionalFormatting sqref="AB2:AB30">
    <cfRule type="cellIs" dxfId="3" priority="3" operator="greaterThanOrEqual">
      <formula>4</formula>
    </cfRule>
    <cfRule type="cellIs" dxfId="2" priority="4" operator="lessThan">
      <formula>4</formula>
    </cfRule>
  </conditionalFormatting>
  <conditionalFormatting sqref="AD2:AD30">
    <cfRule type="cellIs" dxfId="1" priority="5" operator="greaterThanOrEqual">
      <formula>4</formula>
    </cfRule>
    <cfRule type="cellIs" dxfId="0" priority="6" operator="lessThan">
      <formula>4</formula>
    </cfRule>
  </conditionalFormatting>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21385-4D07-4F63-9618-8DC7B6CACDC2}">
  <dimension ref="A1:D28"/>
  <sheetViews>
    <sheetView workbookViewId="0">
      <selection activeCell="B4" sqref="B4"/>
    </sheetView>
  </sheetViews>
  <sheetFormatPr baseColWidth="10" defaultRowHeight="13.2" x14ac:dyDescent="0.25"/>
  <cols>
    <col min="1" max="1" width="29.77734375" bestFit="1" customWidth="1"/>
    <col min="2" max="2" width="10.88671875" bestFit="1" customWidth="1"/>
    <col min="3" max="3" width="39.109375" bestFit="1" customWidth="1"/>
    <col min="4" max="4" width="35.21875" bestFit="1" customWidth="1"/>
  </cols>
  <sheetData>
    <row r="1" spans="1:4" x14ac:dyDescent="0.25">
      <c r="A1" s="16" t="s">
        <v>164</v>
      </c>
      <c r="B1" s="16" t="s">
        <v>80</v>
      </c>
      <c r="C1" s="16" t="s">
        <v>81</v>
      </c>
      <c r="D1" s="16" t="s">
        <v>82</v>
      </c>
    </row>
    <row r="2" spans="1:4" x14ac:dyDescent="0.25">
      <c r="A2" s="17" t="s">
        <v>39</v>
      </c>
      <c r="B2" s="16" t="s">
        <v>83</v>
      </c>
      <c r="C2" s="16" t="s">
        <v>84</v>
      </c>
      <c r="D2" s="16" t="s">
        <v>85</v>
      </c>
    </row>
    <row r="3" spans="1:4" x14ac:dyDescent="0.25">
      <c r="A3" s="17" t="s">
        <v>50</v>
      </c>
      <c r="B3" s="16" t="s">
        <v>86</v>
      </c>
      <c r="C3" s="16" t="s">
        <v>87</v>
      </c>
      <c r="D3" s="16" t="s">
        <v>88</v>
      </c>
    </row>
    <row r="4" spans="1:4" x14ac:dyDescent="0.25">
      <c r="A4" s="19" t="s">
        <v>32</v>
      </c>
      <c r="B4" s="16" t="s">
        <v>89</v>
      </c>
      <c r="C4" s="16" t="s">
        <v>90</v>
      </c>
      <c r="D4" s="16" t="s">
        <v>91</v>
      </c>
    </row>
    <row r="5" spans="1:4" x14ac:dyDescent="0.25">
      <c r="A5" s="17" t="s">
        <v>49</v>
      </c>
      <c r="B5" s="16" t="s">
        <v>92</v>
      </c>
      <c r="C5" s="16" t="s">
        <v>93</v>
      </c>
      <c r="D5" s="16" t="s">
        <v>94</v>
      </c>
    </row>
    <row r="6" spans="1:4" x14ac:dyDescent="0.25">
      <c r="A6" s="19" t="s">
        <v>9</v>
      </c>
      <c r="B6" s="16" t="s">
        <v>95</v>
      </c>
      <c r="C6" s="16" t="s">
        <v>96</v>
      </c>
      <c r="D6" s="16" t="s">
        <v>97</v>
      </c>
    </row>
    <row r="7" spans="1:4" x14ac:dyDescent="0.25">
      <c r="A7" s="17" t="s">
        <v>11</v>
      </c>
      <c r="B7" s="16" t="s">
        <v>98</v>
      </c>
      <c r="C7" s="16" t="s">
        <v>99</v>
      </c>
      <c r="D7" s="16" t="s">
        <v>100</v>
      </c>
    </row>
    <row r="8" spans="1:4" x14ac:dyDescent="0.25">
      <c r="A8" s="19" t="s">
        <v>24</v>
      </c>
      <c r="B8" s="16" t="s">
        <v>101</v>
      </c>
      <c r="C8" s="16" t="s">
        <v>102</v>
      </c>
      <c r="D8" s="16" t="s">
        <v>103</v>
      </c>
    </row>
    <row r="9" spans="1:4" x14ac:dyDescent="0.25">
      <c r="A9" s="17" t="s">
        <v>22</v>
      </c>
      <c r="B9" s="16" t="s">
        <v>104</v>
      </c>
      <c r="C9" s="16" t="s">
        <v>105</v>
      </c>
      <c r="D9" s="16" t="s">
        <v>106</v>
      </c>
    </row>
    <row r="10" spans="1:4" x14ac:dyDescent="0.25">
      <c r="A10" s="19" t="s">
        <v>15</v>
      </c>
      <c r="B10" s="16" t="s">
        <v>107</v>
      </c>
      <c r="C10" s="16" t="s">
        <v>108</v>
      </c>
      <c r="D10" s="16" t="s">
        <v>109</v>
      </c>
    </row>
    <row r="11" spans="1:4" x14ac:dyDescent="0.25">
      <c r="A11" s="17" t="s">
        <v>34</v>
      </c>
      <c r="B11" s="16" t="s">
        <v>110</v>
      </c>
      <c r="C11" s="16" t="s">
        <v>111</v>
      </c>
      <c r="D11" s="16" t="s">
        <v>112</v>
      </c>
    </row>
    <row r="12" spans="1:4" x14ac:dyDescent="0.25">
      <c r="A12" s="19" t="s">
        <v>18</v>
      </c>
      <c r="B12" s="16" t="s">
        <v>113</v>
      </c>
      <c r="C12" s="16" t="s">
        <v>114</v>
      </c>
      <c r="D12" s="16" t="s">
        <v>115</v>
      </c>
    </row>
    <row r="13" spans="1:4" x14ac:dyDescent="0.25">
      <c r="A13" s="17" t="s">
        <v>37</v>
      </c>
      <c r="B13" s="16" t="s">
        <v>116</v>
      </c>
      <c r="C13" s="16" t="s">
        <v>117</v>
      </c>
      <c r="D13" s="16" t="s">
        <v>118</v>
      </c>
    </row>
    <row r="14" spans="1:4" x14ac:dyDescent="0.25">
      <c r="A14" s="19" t="s">
        <v>30</v>
      </c>
      <c r="B14" s="16" t="s">
        <v>119</v>
      </c>
      <c r="C14" s="16" t="s">
        <v>120</v>
      </c>
      <c r="D14" s="16" t="s">
        <v>121</v>
      </c>
    </row>
    <row r="15" spans="1:4" x14ac:dyDescent="0.25">
      <c r="A15" s="17" t="s">
        <v>40</v>
      </c>
      <c r="B15" s="16" t="s">
        <v>122</v>
      </c>
      <c r="C15" s="16" t="s">
        <v>123</v>
      </c>
      <c r="D15" s="16" t="s">
        <v>124</v>
      </c>
    </row>
    <row r="16" spans="1:4" x14ac:dyDescent="0.25">
      <c r="A16" s="19" t="s">
        <v>4</v>
      </c>
      <c r="B16" s="16" t="s">
        <v>125</v>
      </c>
      <c r="C16" s="16" t="s">
        <v>126</v>
      </c>
      <c r="D16" s="16" t="s">
        <v>127</v>
      </c>
    </row>
    <row r="17" spans="1:4" x14ac:dyDescent="0.25">
      <c r="A17" s="17" t="s">
        <v>6</v>
      </c>
      <c r="B17" s="16" t="s">
        <v>128</v>
      </c>
      <c r="C17" s="16" t="s">
        <v>129</v>
      </c>
      <c r="D17" s="16" t="s">
        <v>130</v>
      </c>
    </row>
    <row r="18" spans="1:4" x14ac:dyDescent="0.25">
      <c r="A18" s="19" t="s">
        <v>28</v>
      </c>
      <c r="B18" s="16" t="s">
        <v>131</v>
      </c>
      <c r="C18" s="16" t="s">
        <v>132</v>
      </c>
      <c r="D18" s="16" t="s">
        <v>133</v>
      </c>
    </row>
    <row r="19" spans="1:4" x14ac:dyDescent="0.25">
      <c r="A19" s="18" t="s">
        <v>46</v>
      </c>
      <c r="B19" s="16" t="s">
        <v>134</v>
      </c>
      <c r="C19" s="16" t="s">
        <v>135</v>
      </c>
      <c r="D19" s="16" t="s">
        <v>136</v>
      </c>
    </row>
    <row r="20" spans="1:4" x14ac:dyDescent="0.25">
      <c r="A20" s="17" t="s">
        <v>45</v>
      </c>
      <c r="B20" s="16" t="s">
        <v>137</v>
      </c>
      <c r="C20" s="16" t="s">
        <v>138</v>
      </c>
      <c r="D20" s="16" t="s">
        <v>139</v>
      </c>
    </row>
    <row r="21" spans="1:4" x14ac:dyDescent="0.25">
      <c r="A21" s="19" t="s">
        <v>47</v>
      </c>
      <c r="B21" s="16" t="s">
        <v>140</v>
      </c>
      <c r="C21" s="16" t="s">
        <v>141</v>
      </c>
      <c r="D21" s="16" t="s">
        <v>142</v>
      </c>
    </row>
    <row r="22" spans="1:4" x14ac:dyDescent="0.25">
      <c r="A22" s="17" t="s">
        <v>43</v>
      </c>
      <c r="B22" s="16" t="s">
        <v>143</v>
      </c>
      <c r="C22" s="16" t="s">
        <v>144</v>
      </c>
      <c r="D22" s="16" t="s">
        <v>145</v>
      </c>
    </row>
    <row r="23" spans="1:4" x14ac:dyDescent="0.25">
      <c r="A23" s="19" t="s">
        <v>17</v>
      </c>
      <c r="B23" s="16" t="s">
        <v>146</v>
      </c>
      <c r="C23" s="16" t="s">
        <v>147</v>
      </c>
      <c r="D23" s="16" t="s">
        <v>148</v>
      </c>
    </row>
    <row r="24" spans="1:4" x14ac:dyDescent="0.25">
      <c r="A24" s="17" t="s">
        <v>26</v>
      </c>
      <c r="B24" s="16" t="s">
        <v>149</v>
      </c>
      <c r="C24" s="16" t="s">
        <v>150</v>
      </c>
      <c r="D24" s="16" t="s">
        <v>151</v>
      </c>
    </row>
    <row r="25" spans="1:4" x14ac:dyDescent="0.25">
      <c r="A25" s="19" t="s">
        <v>19</v>
      </c>
      <c r="B25" s="16" t="s">
        <v>152</v>
      </c>
      <c r="C25" s="16" t="s">
        <v>153</v>
      </c>
      <c r="D25" s="16" t="s">
        <v>154</v>
      </c>
    </row>
    <row r="26" spans="1:4" x14ac:dyDescent="0.25">
      <c r="A26" s="17" t="s">
        <v>7</v>
      </c>
      <c r="B26" s="16" t="s">
        <v>155</v>
      </c>
      <c r="C26" s="16" t="s">
        <v>156</v>
      </c>
      <c r="D26" s="16" t="s">
        <v>157</v>
      </c>
    </row>
    <row r="27" spans="1:4" x14ac:dyDescent="0.25">
      <c r="A27" s="19" t="s">
        <v>13</v>
      </c>
      <c r="B27" s="16" t="s">
        <v>158</v>
      </c>
      <c r="C27" s="16" t="s">
        <v>159</v>
      </c>
      <c r="D27" s="16" t="s">
        <v>160</v>
      </c>
    </row>
    <row r="28" spans="1:4" x14ac:dyDescent="0.25">
      <c r="A28" s="17" t="s">
        <v>41</v>
      </c>
      <c r="B28" s="16" t="s">
        <v>161</v>
      </c>
      <c r="C28" s="16" t="s">
        <v>162</v>
      </c>
      <c r="D28" s="16" t="s">
        <v>163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Notas T1</vt:lpstr>
      <vt:lpstr>Detalle</vt:lpstr>
      <vt:lpstr>OMEGA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 Duarte</dc:creator>
  <cp:lastModifiedBy>Gabriel Duarte</cp:lastModifiedBy>
  <dcterms:created xsi:type="dcterms:W3CDTF">2026-07-07T03:31:35Z</dcterms:created>
  <dcterms:modified xsi:type="dcterms:W3CDTF">2026-07-09T15:45:52Z</dcterms:modified>
</cp:coreProperties>
</file>