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duar\Desktop\Academico\Docencia\UAI-AD\2026\tareas\"/>
    </mc:Choice>
  </mc:AlternateContent>
  <xr:revisionPtr revIDLastSave="0" documentId="8_{B46DF5CC-8515-4977-A6C8-BB9AC31F97C8}" xr6:coauthVersionLast="47" xr6:coauthVersionMax="47" xr10:uidLastSave="{00000000-0000-0000-0000-000000000000}"/>
  <bookViews>
    <workbookView xWindow="-96" yWindow="-96" windowWidth="23232" windowHeight="13872" xr2:uid="{00000000-000D-0000-FFFF-FFFF00000000}"/>
  </bookViews>
  <sheets>
    <sheet name="Hoja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 i="1" l="1"/>
  <c r="Z22" i="1"/>
  <c r="Z10" i="1"/>
  <c r="W28" i="1"/>
  <c r="Z28" i="1" s="1"/>
  <c r="W14" i="1"/>
  <c r="Z14" i="1" s="1"/>
  <c r="W4" i="1"/>
  <c r="Z4" i="1" s="1"/>
  <c r="T4" i="1"/>
  <c r="W29" i="1"/>
  <c r="Z29" i="1" s="1"/>
  <c r="W2" i="1"/>
  <c r="Z2" i="1" s="1"/>
  <c r="T2" i="1"/>
  <c r="W9" i="1"/>
  <c r="T9" i="1"/>
  <c r="W11" i="1"/>
  <c r="Z11" i="1" s="1"/>
  <c r="T11" i="1"/>
  <c r="W30" i="1"/>
  <c r="Z30" i="1" s="1"/>
  <c r="T30" i="1"/>
  <c r="W26" i="1"/>
  <c r="Z26" i="1" s="1"/>
  <c r="T26" i="1"/>
  <c r="W25" i="1"/>
  <c r="Z25" i="1" s="1"/>
  <c r="T25" i="1"/>
  <c r="W21" i="1"/>
  <c r="Z21" i="1" s="1"/>
  <c r="T21" i="1"/>
  <c r="W19" i="1"/>
  <c r="Z19" i="1" s="1"/>
  <c r="T19" i="1"/>
  <c r="W17" i="1"/>
  <c r="Z17" i="1" s="1"/>
  <c r="T17" i="1"/>
  <c r="W16" i="1"/>
  <c r="Z16" i="1" s="1"/>
  <c r="T16" i="1"/>
  <c r="W15" i="1"/>
  <c r="Z15" i="1" s="1"/>
  <c r="T15" i="1"/>
  <c r="W13" i="1"/>
  <c r="Z13" i="1" s="1"/>
  <c r="T13" i="1"/>
  <c r="W12" i="1"/>
  <c r="Z12" i="1" s="1"/>
  <c r="T12" i="1"/>
  <c r="W8" i="1"/>
  <c r="Z8" i="1" s="1"/>
  <c r="T8" i="1"/>
  <c r="W7" i="1"/>
  <c r="Z7" i="1" s="1"/>
  <c r="T7" i="1"/>
  <c r="W6" i="1"/>
  <c r="Z6" i="1" s="1"/>
  <c r="T6" i="1"/>
  <c r="W24" i="1"/>
  <c r="Z24" i="1" s="1"/>
  <c r="T24" i="1"/>
  <c r="W10" i="1"/>
  <c r="T10" i="1"/>
  <c r="W22" i="1"/>
  <c r="T22" i="1"/>
  <c r="W3" i="1"/>
  <c r="Z3" i="1" s="1"/>
  <c r="T3" i="1"/>
  <c r="W5" i="1"/>
  <c r="Z5" i="1" s="1"/>
  <c r="T5" i="1"/>
  <c r="W20" i="1"/>
  <c r="Z20" i="1" s="1"/>
  <c r="T20" i="1"/>
  <c r="W27" i="1"/>
  <c r="Z27" i="1" s="1"/>
  <c r="T27" i="1"/>
  <c r="W23" i="1"/>
  <c r="Z23" i="1" s="1"/>
  <c r="T23" i="1"/>
  <c r="W18" i="1"/>
  <c r="Z18" i="1" s="1"/>
  <c r="T18" i="1"/>
</calcChain>
</file>

<file path=xl/sharedStrings.xml><?xml version="1.0" encoding="utf-8"?>
<sst xmlns="http://schemas.openxmlformats.org/spreadsheetml/2006/main" count="91" uniqueCount="79">
  <si>
    <t>Nombre Estudiante</t>
  </si>
  <si>
    <t>Pregunta N° 1</t>
  </si>
  <si>
    <t>Pregunta N° 2</t>
  </si>
  <si>
    <t>Pregunta N° 3</t>
  </si>
  <si>
    <t>Pregunta N° 4</t>
  </si>
  <si>
    <t>Pregunta N° 5</t>
  </si>
  <si>
    <t>Pregunta N° 6</t>
  </si>
  <si>
    <t>Pregunta N° 7</t>
  </si>
  <si>
    <t>Pregunta N° 8</t>
  </si>
  <si>
    <t>Pregunta N° 9</t>
  </si>
  <si>
    <t>Pregunta N° 10</t>
  </si>
  <si>
    <t>Pregunta N° 11</t>
  </si>
  <si>
    <t>Pregunta N° 12</t>
  </si>
  <si>
    <t>Pregunta N° 13</t>
  </si>
  <si>
    <t>Pregunta N° 14</t>
  </si>
  <si>
    <t>Pregunta N° 15</t>
  </si>
  <si>
    <t>Pregunta N° 16</t>
  </si>
  <si>
    <t>Pregunta N° 17</t>
  </si>
  <si>
    <t>Pregunta N° 18</t>
  </si>
  <si>
    <t>Puntaje Total</t>
  </si>
  <si>
    <t>Bonus</t>
  </si>
  <si>
    <t>Nota</t>
  </si>
  <si>
    <t>Descuento por Entrega Fuera de Plazo</t>
  </si>
  <si>
    <t>Observación</t>
  </si>
  <si>
    <t>Luis German Orrego Campano</t>
  </si>
  <si>
    <t>Excelente trabajo. Utiliza las funciones de manera clara y las interpretaciones y respuestas son adecuadas en función de los datos analizados.</t>
  </si>
  <si>
    <t>Maximiliano Abi Osorio Requena</t>
  </si>
  <si>
    <t>Ricardo Tucas Rojas</t>
  </si>
  <si>
    <t>Excelente trabajo. Es un análisis ordenado y estructurado en código y funciones. Sin embargo, los gráficos 8 y 9 no contaban con los años en el eje X, y los gráficos 17 y 18 no contaban con la línea de tendencia.</t>
  </si>
  <si>
    <t>María Paz Flores Jara</t>
  </si>
  <si>
    <t>Excelente trabajo. Utiliza las funciones de manera clara y las interpretaciones y respuestas son adecuadas en función de los datos analizados. Además, declara y justifica la incorporación de scale_fill_manual para la generación de un gráfico</t>
  </si>
  <si>
    <t>Andres Galdames Peña</t>
  </si>
  <si>
    <t>Excelente trabajo. Utiliza las funciones de manera clara y las interpretaciones y respuestas son adecuadas en función de los datos analizados. Además, declara y justifica apoyo de herremientas de IA de manera adecuada</t>
  </si>
  <si>
    <t>Alejandra Vargas Valenzuela</t>
  </si>
  <si>
    <t>Es un muy buen trabajo. Sólo se realizó un pequeño descuento (que con el bonus no tuvo efecto) en el gráfico N° 15 porque el heatmap sólo tuvo un color, dificultando su visualización. De manera adicional, se sugiere comentar los códigos fuera de los "chunk".</t>
  </si>
  <si>
    <t>Mariana Izquierdo Campoverde</t>
  </si>
  <si>
    <t>Muy buen trabajo. Cumple con cada punto y respuesta solicitada. Se realizó un pequeño descuento (sin efecto por el bonus) en los gráficos 12 y 13 porque los puntos de la línea no se encuentran ajustados. De igual forma, el gráfico 18 no contaba con una línea de tendencia por cada zona.</t>
  </si>
  <si>
    <t>Carolina Serrano Espinoza</t>
  </si>
  <si>
    <t>Pablo Meliqueo Cifuentes</t>
  </si>
  <si>
    <t>Angel Toro Omerovich</t>
  </si>
  <si>
    <t>Axel Reiche Ibarrart</t>
  </si>
  <si>
    <t>Sólo se da respuesta a 4 preguntas. Se sugiere revisar las guias y casos prácticos de la clase. Por otra parte, no entrega el html solicitado.</t>
  </si>
  <si>
    <t>Camila Ghio Arriagada</t>
  </si>
  <si>
    <t>Incorporar</t>
  </si>
  <si>
    <t>Constanza Garay Ite</t>
  </si>
  <si>
    <t>Excelente trabajo. Utiliza cada función revisada y da respuesta a lo requerido. No obstante, en la pregunta 3 el archivo tenía otro nombre, por lo que se sugiere no renonbrar los archivos para la tarea.</t>
  </si>
  <si>
    <t>Cristian David Silva Farias</t>
  </si>
  <si>
    <t>Es un buen trabajo. Sin embargo, en la pregunta N° 3 el archivo quedó con valores NA que impactaron su desarrollo hasta la pregunta 9. Con todo, se indicaron conclusiones que visualmente no se detectaban. Se sugiere revisar el código antes de generar el html</t>
  </si>
  <si>
    <t>Francisco Pino Liberona</t>
  </si>
  <si>
    <t>Excelente trabajo. Utiliza las funciones de manera clara y las interpretaciones y respuestas son adecuadas en función de los datos analizados. Como observación: Recuerde "imprimir" los gráficos en el archivo y en el html, de momento, sólo se visualizan los códigos.</t>
  </si>
  <si>
    <t>Gabriela Oporto Tapia</t>
  </si>
  <si>
    <t>Es un buen trabajo. No obstante, el gráfico de la pregunta no fue interpretado y no se proporciona lo requerido en las últimad dos preguntas. Además se descuenta por entrega fuera de plazo.</t>
  </si>
  <si>
    <t>Lorena Escobar Morales</t>
  </si>
  <si>
    <t>Excelente trabajo. Utiliza las funciones de manera clara y las interpretaciones y respuestas son adecuadas en función de los datos analizados. Hubo un pequeño descuento porque en la pregunta N° 15 faltó incorporar la cantidad dentro de cada celda.</t>
  </si>
  <si>
    <t>Manuel Antonio Lefian Hualme</t>
  </si>
  <si>
    <t>Es un buen trabajo que puede ser complementado con las guias de clases. Se sugiere reforzar ciertas funciones de visualización.</t>
  </si>
  <si>
    <t>Mariana Ávila González</t>
  </si>
  <si>
    <t>Patricio Enrique Neira Tapia</t>
  </si>
  <si>
    <t>El trabajo presente códigos incompletos al inicio y no se pueden ejecutar. El html no cuenta con códigos ejecutados.</t>
  </si>
  <si>
    <t>Paulina Andres Alarcon</t>
  </si>
  <si>
    <t>Vanessa Orellana Valenzuela</t>
  </si>
  <si>
    <t>Carolina Tamara Vera Leiva</t>
  </si>
  <si>
    <t>Excelente trabajo. Utiliza las funciones de manera clara y las interpretaciones y respuestas son adecuadas en función de los datos analizados. Como recomendación, se sugiere escribir las respuestas fuera de los "chunk".</t>
  </si>
  <si>
    <t>Camilo Saavedra Cordero</t>
  </si>
  <si>
    <t>Excelente trabajo. Utiliza las funciones de manera clara y las interpretaciones y respuestas son adecuadas en función de los datos analizados. Como recomendación, se sugiere escribir las respuestas fuera de los "chunk" y además, imprimir los gráficos. De igual forma, se sugiere revisar los códigos antes de entregar el html final.</t>
  </si>
  <si>
    <t>Alejandra Rodriguez Soza</t>
  </si>
  <si>
    <t>Sandra Riquelme Diaz</t>
  </si>
  <si>
    <t>Andres Emilio Roncagliolo Cortinez</t>
  </si>
  <si>
    <t>Excelente trabajo. Utiliza las funciones de manera clara y las interpretaciones y respuestas son adecuadas en función de los datos analizados. Se realizó un pequeño descuento (sin efecto después del bonus) en las preguntas N° 11, 12 y 13 porque el código presentaba un pequeño error.</t>
  </si>
  <si>
    <t>Felipe Farias Mardones</t>
  </si>
  <si>
    <t>Romina Contreras Cerda</t>
  </si>
  <si>
    <t>Descuento</t>
  </si>
  <si>
    <t>Nota Final</t>
  </si>
  <si>
    <t>Nota final2</t>
  </si>
  <si>
    <t>Tiempo Retraso</t>
  </si>
  <si>
    <t>12 minutos y 54 segundos</t>
  </si>
  <si>
    <t>4 horas y 40 minutos</t>
  </si>
  <si>
    <t>1 día y 21 horas</t>
  </si>
  <si>
    <t>Puntaje Total con 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</si>
</sst>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0"/>
      <color rgb="FF000000"/>
      <name val="Arial"/>
      <scheme val="minor"/>
    </font>
    <font>
      <sz val="10"/>
      <color theme="1"/>
      <name val="Arial"/>
      <scheme val="minor"/>
    </font>
  </fonts>
  <fills count="4">
    <fill>
      <patternFill patternType="none"/>
    </fill>
    <fill>
      <patternFill patternType="gray125"/>
    </fill>
    <fill>
      <patternFill patternType="solid">
        <fgColor rgb="FFEA9999"/>
        <bgColor rgb="FFEA9999"/>
      </patternFill>
    </fill>
    <fill>
      <patternFill patternType="solid">
        <fgColor theme="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horizontal="center" vertical="center"/>
    </xf>
    <xf numFmtId="0" fontId="1" fillId="0" borderId="1" xfId="0" applyFont="1" applyBorder="1" applyAlignment="1">
      <alignment vertical="center"/>
    </xf>
    <xf numFmtId="0" fontId="1" fillId="2" borderId="1" xfId="0" applyFont="1" applyFill="1" applyBorder="1" applyAlignment="1">
      <alignment vertical="center"/>
    </xf>
    <xf numFmtId="0" fontId="1" fillId="3" borderId="0" xfId="0" applyFont="1" applyFill="1" applyAlignment="1">
      <alignment horizontal="center" vertical="center"/>
    </xf>
    <xf numFmtId="164" fontId="1" fillId="0" borderId="1" xfId="0" applyNumberFormat="1" applyFont="1" applyBorder="1" applyAlignment="1">
      <alignment vertical="center"/>
    </xf>
    <xf numFmtId="164" fontId="1" fillId="2" borderId="1" xfId="0" applyNumberFormat="1" applyFont="1" applyFill="1" applyBorder="1" applyAlignment="1">
      <alignment vertical="center"/>
    </xf>
  </cellXfs>
  <cellStyles count="1">
    <cellStyle name="Normal" xfId="0" builtinId="0"/>
  </cellStyles>
  <dxfs count="13">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E06666"/>
          <bgColor rgb="FFE06666"/>
        </patternFill>
      </fill>
    </dxf>
    <dxf>
      <fill>
        <patternFill patternType="solid">
          <fgColor rgb="FFB7E1CD"/>
          <bgColor rgb="FFB7E1CD"/>
        </patternFill>
      </fill>
    </dxf>
    <dxf>
      <fill>
        <patternFill patternType="solid">
          <fgColor rgb="FFE06666"/>
          <bgColor rgb="FFE06666"/>
        </patternFill>
      </fill>
    </dxf>
    <dxf>
      <fill>
        <patternFill patternType="solid">
          <fgColor rgb="FFB7E1CD"/>
          <bgColor rgb="FFB7E1CD"/>
        </patternFill>
      </fill>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left style="thin">
          <color rgb="FF000000"/>
        </left>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Hoja 1-style" pivot="0" count="4" xr9:uid="{00000000-0011-0000-FFFF-FFFF00000000}">
      <tableStyleElement type="wholeTable" size="0" dxfId="9"/>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AC30">
  <autoFilter ref="A1:AC30" xr:uid="{00000000-000C-0000-FFFF-FFFF00000000}"/>
  <sortState xmlns:xlrd2="http://schemas.microsoft.com/office/spreadsheetml/2017/richdata2" ref="A2:AC30">
    <sortCondition ref="A1:A30"/>
  </sortState>
  <tableColumns count="29">
    <tableColumn id="1" xr3:uid="{00000000-0010-0000-0000-000001000000}" name="Nombre Estudiante"/>
    <tableColumn id="2" xr3:uid="{00000000-0010-0000-0000-000002000000}" name="Pregunta N° 1"/>
    <tableColumn id="3" xr3:uid="{00000000-0010-0000-0000-000003000000}" name="Pregunta N° 2"/>
    <tableColumn id="4" xr3:uid="{00000000-0010-0000-0000-000004000000}" name="Pregunta N° 3"/>
    <tableColumn id="5" xr3:uid="{00000000-0010-0000-0000-000005000000}" name="Pregunta N° 4"/>
    <tableColumn id="6" xr3:uid="{00000000-0010-0000-0000-000006000000}" name="Pregunta N° 5"/>
    <tableColumn id="7" xr3:uid="{00000000-0010-0000-0000-000007000000}" name="Pregunta N° 6"/>
    <tableColumn id="8" xr3:uid="{00000000-0010-0000-0000-000008000000}" name="Pregunta N° 7"/>
    <tableColumn id="9" xr3:uid="{00000000-0010-0000-0000-000009000000}" name="Pregunta N° 8"/>
    <tableColumn id="10" xr3:uid="{00000000-0010-0000-0000-00000A000000}" name="Pregunta N° 9"/>
    <tableColumn id="11" xr3:uid="{00000000-0010-0000-0000-00000B000000}" name="Pregunta N° 10"/>
    <tableColumn id="12" xr3:uid="{00000000-0010-0000-0000-00000C000000}" name="Pregunta N° 11"/>
    <tableColumn id="13" xr3:uid="{00000000-0010-0000-0000-00000D000000}" name="Pregunta N° 12"/>
    <tableColumn id="14" xr3:uid="{00000000-0010-0000-0000-00000E000000}" name="Pregunta N° 13"/>
    <tableColumn id="15" xr3:uid="{00000000-0010-0000-0000-00000F000000}" name="Pregunta N° 14"/>
    <tableColumn id="16" xr3:uid="{00000000-0010-0000-0000-000010000000}" name="Pregunta N° 15"/>
    <tableColumn id="17" xr3:uid="{00000000-0010-0000-0000-000011000000}" name="Pregunta N° 16"/>
    <tableColumn id="18" xr3:uid="{00000000-0010-0000-0000-000012000000}" name="Pregunta N° 17"/>
    <tableColumn id="19" xr3:uid="{00000000-0010-0000-0000-000013000000}" name="Pregunta N° 18"/>
    <tableColumn id="20" xr3:uid="{00000000-0010-0000-0000-000014000000}" name="Puntaje Total"/>
    <tableColumn id="21" xr3:uid="{00000000-0010-0000-0000-000015000000}" name="Bonus"/>
    <tableColumn id="29" xr3:uid="{94374FCE-DF04-43D5-B12F-5E386CADBFB5}" name="Puntaje Total con Bonus" dataDxfId="0"/>
    <tableColumn id="22" xr3:uid="{00000000-0010-0000-0000-000016000000}" name="Nota"/>
    <tableColumn id="28" xr3:uid="{F7AA9813-712D-4420-A46A-42E1E2E54D13}" name="Tiempo Retraso" dataDxfId="8"/>
    <tableColumn id="26" xr3:uid="{2D2FDA5C-0E4B-4DFB-B52C-5A6A0A6DB987}" name="Descuento" dataDxfId="7"/>
    <tableColumn id="27" xr3:uid="{F26EABED-A3C7-4830-8B14-FFC3470D5B8D}" name="Nota Final" dataDxfId="5">
      <calculatedColumnFormula>+Tabla_1[[#This Row],[Nota]]-Tabla_1[[#This Row],[Descuento]]</calculatedColumnFormula>
    </tableColumn>
    <tableColumn id="23" xr3:uid="{00000000-0010-0000-0000-000017000000}" name="Descuento por Entrega Fuera de Plazo" dataDxfId="6"/>
    <tableColumn id="24" xr3:uid="{00000000-0010-0000-0000-000018000000}" name="Nota final2"/>
    <tableColumn id="25" xr3:uid="{00000000-0010-0000-0000-000019000000}" name="Observación"/>
  </tableColumns>
  <tableStyleInfo name="Hoja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0"/>
  <sheetViews>
    <sheetView tabSelected="1" zoomScale="70" zoomScaleNormal="70" workbookViewId="0">
      <pane xSplit="1" ySplit="1" topLeftCell="N2" activePane="bottomRight" state="frozen"/>
      <selection pane="topRight" activeCell="B1" sqref="B1"/>
      <selection pane="bottomLeft" activeCell="A2" sqref="A2"/>
      <selection pane="bottomRight" activeCell="N9" sqref="N9"/>
    </sheetView>
  </sheetViews>
  <sheetFormatPr baseColWidth="10" defaultColWidth="12.6640625" defaultRowHeight="15.75" customHeight="1" x14ac:dyDescent="0.25"/>
  <cols>
    <col min="1" max="1" width="31.21875" bestFit="1" customWidth="1"/>
    <col min="2" max="10" width="12.44140625" bestFit="1" customWidth="1"/>
    <col min="11" max="19" width="13.44140625" bestFit="1" customWidth="1"/>
    <col min="20" max="20" width="12.44140625" bestFit="1" customWidth="1"/>
    <col min="21" max="21" width="6.88671875" bestFit="1" customWidth="1"/>
    <col min="22" max="22" width="6.88671875" customWidth="1"/>
    <col min="24" max="24" width="24.5546875" bestFit="1" customWidth="1"/>
    <col min="27" max="27" width="33.88671875" bestFit="1" customWidth="1"/>
    <col min="28" max="28" width="9.33203125" hidden="1" customWidth="1"/>
    <col min="29" max="29" width="55.88671875" customWidth="1"/>
  </cols>
  <sheetData>
    <row r="1" spans="1:2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3" t="s">
        <v>20</v>
      </c>
      <c r="V1" s="3" t="s">
        <v>78</v>
      </c>
      <c r="W1" s="2" t="s">
        <v>21</v>
      </c>
      <c r="X1" s="2" t="s">
        <v>74</v>
      </c>
      <c r="Y1" s="2" t="s">
        <v>71</v>
      </c>
      <c r="Z1" s="6" t="s">
        <v>72</v>
      </c>
      <c r="AA1" s="3" t="s">
        <v>22</v>
      </c>
      <c r="AB1" s="3" t="s">
        <v>73</v>
      </c>
      <c r="AC1" s="2" t="s">
        <v>23</v>
      </c>
    </row>
    <row r="2" spans="1:29" ht="22.5" customHeight="1" x14ac:dyDescent="0.25">
      <c r="A2" s="4" t="s">
        <v>65</v>
      </c>
      <c r="B2" s="4">
        <v>1</v>
      </c>
      <c r="C2" s="4">
        <v>1</v>
      </c>
      <c r="D2" s="4">
        <v>1</v>
      </c>
      <c r="E2" s="4">
        <v>1</v>
      </c>
      <c r="F2" s="4">
        <v>1</v>
      </c>
      <c r="G2" s="4">
        <v>1</v>
      </c>
      <c r="H2" s="4">
        <v>1</v>
      </c>
      <c r="I2" s="4">
        <v>1</v>
      </c>
      <c r="J2" s="4">
        <v>1</v>
      </c>
      <c r="K2" s="4">
        <v>1</v>
      </c>
      <c r="L2" s="4">
        <v>1</v>
      </c>
      <c r="M2" s="4">
        <v>1</v>
      </c>
      <c r="N2" s="4">
        <v>1</v>
      </c>
      <c r="O2" s="4">
        <v>1</v>
      </c>
      <c r="P2" s="4">
        <v>1</v>
      </c>
      <c r="Q2" s="4">
        <v>1</v>
      </c>
      <c r="R2" s="4">
        <v>1</v>
      </c>
      <c r="S2" s="4">
        <v>1</v>
      </c>
      <c r="T2" s="4">
        <f>SUM(B2:S2)</f>
        <v>18</v>
      </c>
      <c r="U2" s="4">
        <v>1</v>
      </c>
      <c r="V2" s="4"/>
      <c r="W2" s="4">
        <f>(SUM(B2:S2)/18)*6+1</f>
        <v>7</v>
      </c>
      <c r="X2" s="4"/>
      <c r="Y2" s="4"/>
      <c r="Z2" s="7">
        <f>+Tabla_1[[#This Row],[Nota]]-Tabla_1[[#This Row],[Descuento]]</f>
        <v>7</v>
      </c>
      <c r="AA2" s="4"/>
      <c r="AB2" s="4">
        <v>7</v>
      </c>
      <c r="AC2" s="4" t="s">
        <v>62</v>
      </c>
    </row>
    <row r="3" spans="1:29" ht="22.5" customHeight="1" x14ac:dyDescent="0.25">
      <c r="A3" s="4" t="s">
        <v>33</v>
      </c>
      <c r="B3" s="4">
        <v>1</v>
      </c>
      <c r="C3" s="4">
        <v>1</v>
      </c>
      <c r="D3" s="4">
        <v>1</v>
      </c>
      <c r="E3" s="4">
        <v>1</v>
      </c>
      <c r="F3" s="4">
        <v>1</v>
      </c>
      <c r="G3" s="4">
        <v>1</v>
      </c>
      <c r="H3" s="4">
        <v>1</v>
      </c>
      <c r="I3" s="4">
        <v>1</v>
      </c>
      <c r="J3" s="4">
        <v>1</v>
      </c>
      <c r="K3" s="4">
        <v>1</v>
      </c>
      <c r="L3" s="4">
        <v>1</v>
      </c>
      <c r="M3" s="4">
        <v>1</v>
      </c>
      <c r="N3" s="4">
        <v>1</v>
      </c>
      <c r="O3" s="4">
        <v>1</v>
      </c>
      <c r="P3" s="4">
        <v>0.6</v>
      </c>
      <c r="Q3" s="4">
        <v>1</v>
      </c>
      <c r="R3" s="4">
        <v>1</v>
      </c>
      <c r="S3" s="4">
        <v>1</v>
      </c>
      <c r="T3" s="4">
        <f>SUM(B3:S3)</f>
        <v>17.600000000000001</v>
      </c>
      <c r="U3" s="4">
        <v>1</v>
      </c>
      <c r="V3" s="4"/>
      <c r="W3" s="4">
        <f>(SUM(B3:S3)/18)*6+1</f>
        <v>6.8666666666666671</v>
      </c>
      <c r="X3" s="4"/>
      <c r="Y3" s="4"/>
      <c r="Z3" s="7">
        <f>+Tabla_1[[#This Row],[Nota]]-Tabla_1[[#This Row],[Descuento]]</f>
        <v>6.8666666666666671</v>
      </c>
      <c r="AA3" s="4"/>
      <c r="AB3" s="4">
        <v>7</v>
      </c>
      <c r="AC3" s="4" t="s">
        <v>34</v>
      </c>
    </row>
    <row r="4" spans="1:29" ht="22.5" customHeight="1" x14ac:dyDescent="0.25">
      <c r="A4" s="4" t="s">
        <v>67</v>
      </c>
      <c r="B4" s="4">
        <v>1</v>
      </c>
      <c r="C4" s="4">
        <v>1</v>
      </c>
      <c r="D4" s="4">
        <v>1</v>
      </c>
      <c r="E4" s="4">
        <v>0.8</v>
      </c>
      <c r="F4" s="4">
        <v>1</v>
      </c>
      <c r="G4" s="4">
        <v>1</v>
      </c>
      <c r="H4" s="4">
        <v>1</v>
      </c>
      <c r="I4" s="4">
        <v>1</v>
      </c>
      <c r="J4" s="4">
        <v>1</v>
      </c>
      <c r="K4" s="4">
        <v>1</v>
      </c>
      <c r="L4" s="4">
        <v>0.3</v>
      </c>
      <c r="M4" s="4">
        <v>0.3</v>
      </c>
      <c r="N4" s="4">
        <v>0.3</v>
      </c>
      <c r="O4" s="4">
        <v>1</v>
      </c>
      <c r="P4" s="4">
        <v>1</v>
      </c>
      <c r="Q4" s="4">
        <v>1</v>
      </c>
      <c r="R4" s="4">
        <v>1</v>
      </c>
      <c r="S4" s="4">
        <v>1</v>
      </c>
      <c r="T4" s="4">
        <f>SUM(B4:S4)</f>
        <v>15.700000000000003</v>
      </c>
      <c r="U4" s="4">
        <v>1</v>
      </c>
      <c r="V4" s="4"/>
      <c r="W4" s="4">
        <f>(SUM(B4:S4)/18)*6+1</f>
        <v>6.2333333333333343</v>
      </c>
      <c r="X4" s="4"/>
      <c r="Y4" s="4"/>
      <c r="Z4" s="7">
        <f>+Tabla_1[[#This Row],[Nota]]-Tabla_1[[#This Row],[Descuento]]</f>
        <v>6.2333333333333343</v>
      </c>
      <c r="AA4" s="4"/>
      <c r="AB4" s="4">
        <v>7</v>
      </c>
      <c r="AC4" s="4" t="s">
        <v>68</v>
      </c>
    </row>
    <row r="5" spans="1:29" ht="22.5" customHeight="1" x14ac:dyDescent="0.25">
      <c r="A5" s="4" t="s">
        <v>31</v>
      </c>
      <c r="B5" s="4">
        <v>1</v>
      </c>
      <c r="C5" s="4">
        <v>1</v>
      </c>
      <c r="D5" s="4">
        <v>1</v>
      </c>
      <c r="E5" s="4">
        <v>1</v>
      </c>
      <c r="F5" s="4">
        <v>1</v>
      </c>
      <c r="G5" s="4">
        <v>1</v>
      </c>
      <c r="H5" s="4">
        <v>1</v>
      </c>
      <c r="I5" s="4">
        <v>1</v>
      </c>
      <c r="J5" s="4">
        <v>1</v>
      </c>
      <c r="K5" s="4">
        <v>1</v>
      </c>
      <c r="L5" s="4">
        <v>1</v>
      </c>
      <c r="M5" s="4">
        <v>1</v>
      </c>
      <c r="N5" s="4">
        <v>1</v>
      </c>
      <c r="O5" s="4">
        <v>1</v>
      </c>
      <c r="P5" s="4">
        <v>1</v>
      </c>
      <c r="Q5" s="4">
        <v>1</v>
      </c>
      <c r="R5" s="4">
        <v>1</v>
      </c>
      <c r="S5" s="4">
        <v>1</v>
      </c>
      <c r="T5" s="4">
        <f>SUM(B5:S5)</f>
        <v>18</v>
      </c>
      <c r="U5" s="4">
        <v>1</v>
      </c>
      <c r="V5" s="4"/>
      <c r="W5" s="4">
        <f>(SUM(B5:S5)/18)*6+1</f>
        <v>7</v>
      </c>
      <c r="X5" s="4"/>
      <c r="Y5" s="4"/>
      <c r="Z5" s="7">
        <f>+Tabla_1[[#This Row],[Nota]]-Tabla_1[[#This Row],[Descuento]]</f>
        <v>7</v>
      </c>
      <c r="AA5" s="4"/>
      <c r="AB5" s="4">
        <v>7</v>
      </c>
      <c r="AC5" s="4" t="s">
        <v>32</v>
      </c>
    </row>
    <row r="6" spans="1:29" ht="22.5" customHeight="1" x14ac:dyDescent="0.25">
      <c r="A6" s="4" t="s">
        <v>39</v>
      </c>
      <c r="B6" s="4">
        <v>1</v>
      </c>
      <c r="C6" s="4">
        <v>1</v>
      </c>
      <c r="D6" s="4">
        <v>1</v>
      </c>
      <c r="E6" s="4">
        <v>1</v>
      </c>
      <c r="F6" s="4">
        <v>1</v>
      </c>
      <c r="G6" s="4">
        <v>1</v>
      </c>
      <c r="H6" s="4">
        <v>1</v>
      </c>
      <c r="I6" s="4">
        <v>1</v>
      </c>
      <c r="J6" s="4">
        <v>1</v>
      </c>
      <c r="K6" s="4">
        <v>1</v>
      </c>
      <c r="L6" s="4">
        <v>1</v>
      </c>
      <c r="M6" s="4">
        <v>1</v>
      </c>
      <c r="N6" s="4">
        <v>1</v>
      </c>
      <c r="O6" s="4">
        <v>1</v>
      </c>
      <c r="P6" s="4">
        <v>1</v>
      </c>
      <c r="Q6" s="4">
        <v>1</v>
      </c>
      <c r="R6" s="4">
        <v>1</v>
      </c>
      <c r="S6" s="4">
        <v>1</v>
      </c>
      <c r="T6" s="4">
        <f>SUM(B6:S6)</f>
        <v>18</v>
      </c>
      <c r="U6" s="4">
        <v>1</v>
      </c>
      <c r="V6" s="4"/>
      <c r="W6" s="4">
        <f>(SUM(B6:S6)/18)*6+1</f>
        <v>7</v>
      </c>
      <c r="X6" s="4"/>
      <c r="Y6" s="4"/>
      <c r="Z6" s="7">
        <f>+Tabla_1[[#This Row],[Nota]]-Tabla_1[[#This Row],[Descuento]]</f>
        <v>7</v>
      </c>
      <c r="AA6" s="4"/>
      <c r="AB6" s="4">
        <v>7</v>
      </c>
      <c r="AC6" s="4" t="s">
        <v>25</v>
      </c>
    </row>
    <row r="7" spans="1:29" ht="22.5" customHeight="1" x14ac:dyDescent="0.25">
      <c r="A7" s="4" t="s">
        <v>40</v>
      </c>
      <c r="B7" s="4">
        <v>1</v>
      </c>
      <c r="C7" s="4">
        <v>1</v>
      </c>
      <c r="D7" s="4">
        <v>1</v>
      </c>
      <c r="E7" s="4">
        <v>0</v>
      </c>
      <c r="F7" s="4">
        <v>0</v>
      </c>
      <c r="G7" s="4">
        <v>0</v>
      </c>
      <c r="H7" s="4">
        <v>0</v>
      </c>
      <c r="I7" s="4">
        <v>0</v>
      </c>
      <c r="J7" s="4">
        <v>0</v>
      </c>
      <c r="K7" s="4">
        <v>0</v>
      </c>
      <c r="L7" s="4">
        <v>0</v>
      </c>
      <c r="M7" s="4">
        <v>0</v>
      </c>
      <c r="N7" s="4">
        <v>0</v>
      </c>
      <c r="O7" s="4">
        <v>0</v>
      </c>
      <c r="P7" s="4">
        <v>0</v>
      </c>
      <c r="Q7" s="4">
        <v>0</v>
      </c>
      <c r="R7" s="4">
        <v>0</v>
      </c>
      <c r="S7" s="4">
        <v>0</v>
      </c>
      <c r="T7" s="4">
        <f>SUM(B7:S7)</f>
        <v>3</v>
      </c>
      <c r="U7" s="4">
        <v>0</v>
      </c>
      <c r="V7" s="4"/>
      <c r="W7" s="4">
        <f>(SUM(B7:S7)/18)*6+1</f>
        <v>2</v>
      </c>
      <c r="X7" s="4"/>
      <c r="Y7" s="4"/>
      <c r="Z7" s="7">
        <f>+Tabla_1[[#This Row],[Nota]]-Tabla_1[[#This Row],[Descuento]]</f>
        <v>2</v>
      </c>
      <c r="AA7" s="4"/>
      <c r="AB7" s="4">
        <v>2</v>
      </c>
      <c r="AC7" s="4" t="s">
        <v>41</v>
      </c>
    </row>
    <row r="8" spans="1:29" ht="22.5" customHeight="1" x14ac:dyDescent="0.25">
      <c r="A8" s="4" t="s">
        <v>42</v>
      </c>
      <c r="B8" s="4">
        <v>1</v>
      </c>
      <c r="C8" s="4">
        <v>1</v>
      </c>
      <c r="D8" s="4">
        <v>1</v>
      </c>
      <c r="E8" s="4">
        <v>1</v>
      </c>
      <c r="F8" s="4">
        <v>1</v>
      </c>
      <c r="G8" s="4">
        <v>1</v>
      </c>
      <c r="H8" s="4">
        <v>1</v>
      </c>
      <c r="I8" s="4">
        <v>1</v>
      </c>
      <c r="J8" s="4">
        <v>1</v>
      </c>
      <c r="K8" s="4">
        <v>1</v>
      </c>
      <c r="L8" s="4">
        <v>1</v>
      </c>
      <c r="M8" s="4">
        <v>1</v>
      </c>
      <c r="N8" s="4">
        <v>1</v>
      </c>
      <c r="O8" s="4">
        <v>1</v>
      </c>
      <c r="P8" s="4">
        <v>1</v>
      </c>
      <c r="Q8" s="4">
        <v>1</v>
      </c>
      <c r="R8" s="4">
        <v>1</v>
      </c>
      <c r="S8" s="4">
        <v>1</v>
      </c>
      <c r="T8" s="4">
        <f>SUM(B8:S8)</f>
        <v>18</v>
      </c>
      <c r="U8" s="4">
        <v>1</v>
      </c>
      <c r="V8" s="4"/>
      <c r="W8" s="4">
        <f>(SUM(B8:S8)/18)*6+1</f>
        <v>7</v>
      </c>
      <c r="X8" s="4" t="s">
        <v>75</v>
      </c>
      <c r="Y8" s="4">
        <v>0.5</v>
      </c>
      <c r="Z8" s="7">
        <f>+Tabla_1[[#This Row],[Nota]]-Tabla_1[[#This Row],[Descuento]]</f>
        <v>6.5</v>
      </c>
      <c r="AA8" s="4" t="s">
        <v>43</v>
      </c>
      <c r="AB8" s="4"/>
      <c r="AC8" s="4" t="s">
        <v>25</v>
      </c>
    </row>
    <row r="9" spans="1:29" ht="22.5" customHeight="1" x14ac:dyDescent="0.25">
      <c r="A9" s="4" t="s">
        <v>63</v>
      </c>
      <c r="B9" s="4">
        <v>1</v>
      </c>
      <c r="C9" s="4">
        <v>1</v>
      </c>
      <c r="D9" s="4">
        <v>0.5</v>
      </c>
      <c r="E9" s="4">
        <v>0.3</v>
      </c>
      <c r="F9" s="4">
        <v>0.3</v>
      </c>
      <c r="G9" s="4">
        <v>0.3</v>
      </c>
      <c r="H9" s="4">
        <v>0.3</v>
      </c>
      <c r="I9" s="4">
        <v>0.3</v>
      </c>
      <c r="J9" s="4">
        <v>0.3</v>
      </c>
      <c r="K9" s="4">
        <v>1</v>
      </c>
      <c r="L9" s="4">
        <v>1</v>
      </c>
      <c r="M9" s="4">
        <v>1</v>
      </c>
      <c r="N9" s="4">
        <v>1</v>
      </c>
      <c r="O9" s="4">
        <v>1</v>
      </c>
      <c r="P9" s="4">
        <v>1</v>
      </c>
      <c r="Q9" s="4">
        <v>1</v>
      </c>
      <c r="R9" s="4">
        <v>1</v>
      </c>
      <c r="S9" s="4">
        <v>1</v>
      </c>
      <c r="T9" s="4">
        <f>SUM(B9:S9)</f>
        <v>13.299999999999999</v>
      </c>
      <c r="U9" s="4">
        <v>1</v>
      </c>
      <c r="V9" s="4"/>
      <c r="W9" s="4">
        <f>(SUM(B9:S9)/18)*6+1</f>
        <v>5.4333333333333327</v>
      </c>
      <c r="X9" s="4" t="s">
        <v>76</v>
      </c>
      <c r="Y9" s="4">
        <v>0.5</v>
      </c>
      <c r="Z9" s="7">
        <f>+Tabla_1[[#This Row],[Nota]]-Tabla_1[[#This Row],[Descuento]]</f>
        <v>4.9333333333333327</v>
      </c>
      <c r="AA9" s="4" t="s">
        <v>43</v>
      </c>
      <c r="AB9" s="4"/>
      <c r="AC9" s="4" t="s">
        <v>64</v>
      </c>
    </row>
    <row r="10" spans="1:29" ht="22.5" customHeight="1" x14ac:dyDescent="0.25">
      <c r="A10" s="4" t="s">
        <v>37</v>
      </c>
      <c r="B10" s="4">
        <v>1</v>
      </c>
      <c r="C10" s="4">
        <v>1</v>
      </c>
      <c r="D10" s="4">
        <v>1</v>
      </c>
      <c r="E10" s="4">
        <v>1</v>
      </c>
      <c r="F10" s="4">
        <v>1</v>
      </c>
      <c r="G10" s="4">
        <v>1</v>
      </c>
      <c r="H10" s="4">
        <v>1</v>
      </c>
      <c r="I10" s="4">
        <v>1</v>
      </c>
      <c r="J10" s="4">
        <v>1</v>
      </c>
      <c r="K10" s="4">
        <v>1</v>
      </c>
      <c r="L10" s="4">
        <v>1</v>
      </c>
      <c r="M10" s="4">
        <v>1</v>
      </c>
      <c r="N10" s="4">
        <v>1</v>
      </c>
      <c r="O10" s="4">
        <v>1</v>
      </c>
      <c r="P10" s="4">
        <v>1</v>
      </c>
      <c r="Q10" s="4">
        <v>1</v>
      </c>
      <c r="R10" s="4">
        <v>1</v>
      </c>
      <c r="S10" s="4">
        <v>1</v>
      </c>
      <c r="T10" s="4">
        <f>SUM(B10:S10)</f>
        <v>18</v>
      </c>
      <c r="U10" s="4">
        <v>1</v>
      </c>
      <c r="V10" s="4"/>
      <c r="W10" s="4">
        <f>(SUM(B10:S10)/18)*6+1</f>
        <v>7</v>
      </c>
      <c r="X10" s="4"/>
      <c r="Y10" s="4"/>
      <c r="Z10" s="7">
        <f>+Tabla_1[[#This Row],[Nota]]-Tabla_1[[#This Row],[Descuento]]</f>
        <v>7</v>
      </c>
      <c r="AA10" s="4"/>
      <c r="AB10" s="4">
        <v>7</v>
      </c>
      <c r="AC10" s="4" t="s">
        <v>25</v>
      </c>
    </row>
    <row r="11" spans="1:29" ht="22.5" customHeight="1" x14ac:dyDescent="0.25">
      <c r="A11" s="4" t="s">
        <v>61</v>
      </c>
      <c r="B11" s="4">
        <v>1</v>
      </c>
      <c r="C11" s="4">
        <v>1</v>
      </c>
      <c r="D11" s="4">
        <v>1</v>
      </c>
      <c r="E11" s="4">
        <v>1</v>
      </c>
      <c r="F11" s="4">
        <v>1</v>
      </c>
      <c r="G11" s="4">
        <v>1</v>
      </c>
      <c r="H11" s="4">
        <v>1</v>
      </c>
      <c r="I11" s="4">
        <v>1</v>
      </c>
      <c r="J11" s="4">
        <v>1</v>
      </c>
      <c r="K11" s="4">
        <v>1</v>
      </c>
      <c r="L11" s="4">
        <v>1</v>
      </c>
      <c r="M11" s="4">
        <v>1</v>
      </c>
      <c r="N11" s="4">
        <v>1</v>
      </c>
      <c r="O11" s="4">
        <v>1</v>
      </c>
      <c r="P11" s="4">
        <v>1</v>
      </c>
      <c r="Q11" s="4">
        <v>1</v>
      </c>
      <c r="R11" s="4">
        <v>1</v>
      </c>
      <c r="S11" s="4">
        <v>1</v>
      </c>
      <c r="T11" s="4">
        <f>SUM(B11:S11)</f>
        <v>18</v>
      </c>
      <c r="U11" s="4">
        <v>1</v>
      </c>
      <c r="V11" s="4"/>
      <c r="W11" s="4">
        <f>(SUM(B11:S11)/18)*6+1</f>
        <v>7</v>
      </c>
      <c r="X11" s="4"/>
      <c r="Y11" s="4"/>
      <c r="Z11" s="7">
        <f>+Tabla_1[[#This Row],[Nota]]-Tabla_1[[#This Row],[Descuento]]</f>
        <v>7</v>
      </c>
      <c r="AA11" s="4"/>
      <c r="AB11" s="4">
        <v>7</v>
      </c>
      <c r="AC11" s="4" t="s">
        <v>62</v>
      </c>
    </row>
    <row r="12" spans="1:29" ht="22.5" customHeight="1" x14ac:dyDescent="0.25">
      <c r="A12" s="4" t="s">
        <v>44</v>
      </c>
      <c r="B12" s="4">
        <v>1</v>
      </c>
      <c r="C12" s="4">
        <v>1</v>
      </c>
      <c r="D12" s="4">
        <v>1</v>
      </c>
      <c r="E12" s="4">
        <v>1</v>
      </c>
      <c r="F12" s="4">
        <v>1</v>
      </c>
      <c r="G12" s="4">
        <v>1</v>
      </c>
      <c r="H12" s="4">
        <v>1</v>
      </c>
      <c r="I12" s="4">
        <v>1</v>
      </c>
      <c r="J12" s="4">
        <v>1</v>
      </c>
      <c r="K12" s="4">
        <v>1</v>
      </c>
      <c r="L12" s="4">
        <v>1</v>
      </c>
      <c r="M12" s="4">
        <v>1</v>
      </c>
      <c r="N12" s="4">
        <v>1</v>
      </c>
      <c r="O12" s="4">
        <v>1</v>
      </c>
      <c r="P12" s="4">
        <v>1</v>
      </c>
      <c r="Q12" s="4">
        <v>1</v>
      </c>
      <c r="R12" s="4">
        <v>1</v>
      </c>
      <c r="S12" s="4">
        <v>1</v>
      </c>
      <c r="T12" s="4">
        <f>SUM(B12:S12)</f>
        <v>18</v>
      </c>
      <c r="U12" s="4">
        <v>1</v>
      </c>
      <c r="V12" s="4"/>
      <c r="W12" s="4">
        <f>(SUM(B12:S12)/18)*6+1</f>
        <v>7</v>
      </c>
      <c r="X12" s="4"/>
      <c r="Y12" s="4"/>
      <c r="Z12" s="7">
        <f>+Tabla_1[[#This Row],[Nota]]-Tabla_1[[#This Row],[Descuento]]</f>
        <v>7</v>
      </c>
      <c r="AA12" s="4"/>
      <c r="AB12" s="4">
        <v>7</v>
      </c>
      <c r="AC12" s="4" t="s">
        <v>45</v>
      </c>
    </row>
    <row r="13" spans="1:29" ht="22.5" customHeight="1" x14ac:dyDescent="0.25">
      <c r="A13" s="4" t="s">
        <v>46</v>
      </c>
      <c r="B13" s="4">
        <v>1</v>
      </c>
      <c r="C13" s="4">
        <v>1</v>
      </c>
      <c r="D13" s="4">
        <v>0.5</v>
      </c>
      <c r="E13" s="4">
        <v>0.3</v>
      </c>
      <c r="F13" s="4">
        <v>0.3</v>
      </c>
      <c r="G13" s="4">
        <v>0.3</v>
      </c>
      <c r="H13" s="4">
        <v>0.3</v>
      </c>
      <c r="I13" s="4">
        <v>0.3</v>
      </c>
      <c r="J13" s="4">
        <v>0.3</v>
      </c>
      <c r="K13" s="4">
        <v>1</v>
      </c>
      <c r="L13" s="4">
        <v>1</v>
      </c>
      <c r="M13" s="4">
        <v>1</v>
      </c>
      <c r="N13" s="4">
        <v>1</v>
      </c>
      <c r="O13" s="4">
        <v>1</v>
      </c>
      <c r="P13" s="4">
        <v>1</v>
      </c>
      <c r="Q13" s="4">
        <v>1</v>
      </c>
      <c r="R13" s="4">
        <v>1</v>
      </c>
      <c r="S13" s="4">
        <v>1</v>
      </c>
      <c r="T13" s="4">
        <f>SUM(B13:S13)</f>
        <v>13.299999999999999</v>
      </c>
      <c r="U13" s="4">
        <v>0</v>
      </c>
      <c r="V13" s="4"/>
      <c r="W13" s="4">
        <f>(SUM(B13:S13)/18)*6+1</f>
        <v>5.4333333333333327</v>
      </c>
      <c r="X13" s="4"/>
      <c r="Y13" s="4"/>
      <c r="Z13" s="7">
        <f>+Tabla_1[[#This Row],[Nota]]-Tabla_1[[#This Row],[Descuento]]</f>
        <v>5.4333333333333327</v>
      </c>
      <c r="AA13" s="4"/>
      <c r="AB13" s="4">
        <v>5.4</v>
      </c>
      <c r="AC13" s="4" t="s">
        <v>47</v>
      </c>
    </row>
    <row r="14" spans="1:29" ht="22.5" customHeight="1" x14ac:dyDescent="0.25">
      <c r="A14" s="4" t="s">
        <v>69</v>
      </c>
      <c r="B14" s="4">
        <v>1</v>
      </c>
      <c r="C14" s="4">
        <v>1</v>
      </c>
      <c r="D14" s="4">
        <v>1</v>
      </c>
      <c r="E14" s="4">
        <v>1</v>
      </c>
      <c r="F14" s="4">
        <v>1</v>
      </c>
      <c r="G14" s="4">
        <v>1</v>
      </c>
      <c r="H14" s="4">
        <v>1</v>
      </c>
      <c r="I14" s="4">
        <v>1</v>
      </c>
      <c r="J14" s="4">
        <v>1</v>
      </c>
      <c r="K14" s="4">
        <v>1</v>
      </c>
      <c r="L14" s="4">
        <v>1</v>
      </c>
      <c r="M14" s="4">
        <v>1</v>
      </c>
      <c r="N14" s="4">
        <v>1</v>
      </c>
      <c r="O14" s="4">
        <v>1</v>
      </c>
      <c r="P14" s="4">
        <v>1</v>
      </c>
      <c r="Q14" s="4">
        <v>1</v>
      </c>
      <c r="R14" s="4">
        <v>1</v>
      </c>
      <c r="S14" s="4">
        <v>1</v>
      </c>
      <c r="T14" s="4">
        <v>1</v>
      </c>
      <c r="U14" s="4">
        <v>1</v>
      </c>
      <c r="V14" s="4"/>
      <c r="W14" s="4">
        <f>(SUM(B14:S14)/18)*6+1</f>
        <v>7</v>
      </c>
      <c r="X14" s="4"/>
      <c r="Y14" s="4"/>
      <c r="Z14" s="7">
        <f>+Tabla_1[[#This Row],[Nota]]-Tabla_1[[#This Row],[Descuento]]</f>
        <v>7</v>
      </c>
      <c r="AA14" s="4"/>
      <c r="AB14" s="4">
        <v>7</v>
      </c>
      <c r="AC14" s="4" t="s">
        <v>25</v>
      </c>
    </row>
    <row r="15" spans="1:29" ht="22.5" customHeight="1" x14ac:dyDescent="0.25">
      <c r="A15" s="4" t="s">
        <v>48</v>
      </c>
      <c r="B15" s="4">
        <v>1</v>
      </c>
      <c r="C15" s="4">
        <v>1</v>
      </c>
      <c r="D15" s="4">
        <v>1</v>
      </c>
      <c r="E15" s="4">
        <v>1</v>
      </c>
      <c r="F15" s="4">
        <v>1</v>
      </c>
      <c r="G15" s="4">
        <v>1</v>
      </c>
      <c r="H15" s="4">
        <v>1</v>
      </c>
      <c r="I15" s="4">
        <v>1</v>
      </c>
      <c r="J15" s="4">
        <v>1</v>
      </c>
      <c r="K15" s="4">
        <v>1</v>
      </c>
      <c r="L15" s="4">
        <v>1</v>
      </c>
      <c r="M15" s="4">
        <v>1</v>
      </c>
      <c r="N15" s="4">
        <v>1</v>
      </c>
      <c r="O15" s="4">
        <v>1</v>
      </c>
      <c r="P15" s="4">
        <v>1</v>
      </c>
      <c r="Q15" s="4">
        <v>1</v>
      </c>
      <c r="R15" s="4">
        <v>1</v>
      </c>
      <c r="S15" s="4">
        <v>1</v>
      </c>
      <c r="T15" s="4">
        <f>SUM(B15:S15)</f>
        <v>18</v>
      </c>
      <c r="U15" s="4">
        <v>1</v>
      </c>
      <c r="V15" s="4"/>
      <c r="W15" s="4">
        <f>(SUM(B15:S15)/18)*6+1</f>
        <v>7</v>
      </c>
      <c r="X15" s="4"/>
      <c r="Y15" s="4"/>
      <c r="Z15" s="7">
        <f>+Tabla_1[[#This Row],[Nota]]-Tabla_1[[#This Row],[Descuento]]</f>
        <v>7</v>
      </c>
      <c r="AA15" s="4"/>
      <c r="AB15" s="4">
        <v>7</v>
      </c>
      <c r="AC15" s="4" t="s">
        <v>49</v>
      </c>
    </row>
    <row r="16" spans="1:29" ht="22.5" customHeight="1" x14ac:dyDescent="0.25">
      <c r="A16" s="4" t="s">
        <v>50</v>
      </c>
      <c r="B16" s="4">
        <v>1</v>
      </c>
      <c r="C16" s="4">
        <v>1</v>
      </c>
      <c r="D16" s="4">
        <v>1</v>
      </c>
      <c r="E16" s="4">
        <v>1</v>
      </c>
      <c r="F16" s="4">
        <v>1</v>
      </c>
      <c r="G16" s="4">
        <v>1</v>
      </c>
      <c r="H16" s="4">
        <v>1</v>
      </c>
      <c r="I16" s="4">
        <v>1</v>
      </c>
      <c r="J16" s="4">
        <v>1</v>
      </c>
      <c r="K16" s="4">
        <v>1</v>
      </c>
      <c r="L16" s="4">
        <v>1</v>
      </c>
      <c r="M16" s="4">
        <v>1</v>
      </c>
      <c r="N16" s="4">
        <v>1</v>
      </c>
      <c r="O16" s="4">
        <v>1</v>
      </c>
      <c r="P16" s="4">
        <v>0.8</v>
      </c>
      <c r="Q16" s="4">
        <v>1</v>
      </c>
      <c r="R16" s="4">
        <v>0.3</v>
      </c>
      <c r="S16" s="4">
        <v>0</v>
      </c>
      <c r="T16" s="4">
        <f>SUM(B16:S16)</f>
        <v>16.100000000000001</v>
      </c>
      <c r="U16" s="4">
        <v>0</v>
      </c>
      <c r="V16" s="4"/>
      <c r="W16" s="4">
        <f>(SUM(B16:S16)/18)*6+1</f>
        <v>6.3666666666666671</v>
      </c>
      <c r="X16" s="4" t="s">
        <v>77</v>
      </c>
      <c r="Y16" s="4">
        <v>2</v>
      </c>
      <c r="Z16" s="7">
        <f>+Tabla_1[[#This Row],[Nota]]-Tabla_1[[#This Row],[Descuento]]</f>
        <v>4.3666666666666671</v>
      </c>
      <c r="AA16" s="4" t="s">
        <v>43</v>
      </c>
      <c r="AB16" s="4"/>
      <c r="AC16" s="4" t="s">
        <v>51</v>
      </c>
    </row>
    <row r="17" spans="1:29" ht="22.5" customHeight="1" x14ac:dyDescent="0.25">
      <c r="A17" s="4" t="s">
        <v>52</v>
      </c>
      <c r="B17" s="4">
        <v>1</v>
      </c>
      <c r="C17" s="4">
        <v>1</v>
      </c>
      <c r="D17" s="4">
        <v>1</v>
      </c>
      <c r="E17" s="4">
        <v>1</v>
      </c>
      <c r="F17" s="4">
        <v>1</v>
      </c>
      <c r="G17" s="4">
        <v>1</v>
      </c>
      <c r="H17" s="4">
        <v>1</v>
      </c>
      <c r="I17" s="4">
        <v>1</v>
      </c>
      <c r="J17" s="4">
        <v>1</v>
      </c>
      <c r="K17" s="4">
        <v>1</v>
      </c>
      <c r="L17" s="4">
        <v>1</v>
      </c>
      <c r="M17" s="4">
        <v>1</v>
      </c>
      <c r="N17" s="4">
        <v>1</v>
      </c>
      <c r="O17" s="4">
        <v>1</v>
      </c>
      <c r="P17" s="4">
        <v>0.8</v>
      </c>
      <c r="Q17" s="4">
        <v>1</v>
      </c>
      <c r="R17" s="4">
        <v>1</v>
      </c>
      <c r="S17" s="4">
        <v>1</v>
      </c>
      <c r="T17" s="4">
        <f>SUM(B17:S17)</f>
        <v>17.8</v>
      </c>
      <c r="U17" s="4">
        <v>0</v>
      </c>
      <c r="V17" s="4"/>
      <c r="W17" s="4">
        <f>(SUM(B17:S17)/18)*6+1</f>
        <v>6.9333333333333336</v>
      </c>
      <c r="X17" s="4"/>
      <c r="Y17" s="4"/>
      <c r="Z17" s="7">
        <f>+Tabla_1[[#This Row],[Nota]]-Tabla_1[[#This Row],[Descuento]]</f>
        <v>6.9333333333333336</v>
      </c>
      <c r="AA17" s="4"/>
      <c r="AB17" s="4">
        <v>6.9</v>
      </c>
      <c r="AC17" s="4" t="s">
        <v>53</v>
      </c>
    </row>
    <row r="18" spans="1:29" ht="22.5" customHeight="1" x14ac:dyDescent="0.25">
      <c r="A18" s="4" t="s">
        <v>24</v>
      </c>
      <c r="B18" s="4">
        <v>1</v>
      </c>
      <c r="C18" s="4">
        <v>1</v>
      </c>
      <c r="D18" s="4">
        <v>1</v>
      </c>
      <c r="E18" s="4">
        <v>1</v>
      </c>
      <c r="F18" s="4">
        <v>1</v>
      </c>
      <c r="G18" s="4">
        <v>1</v>
      </c>
      <c r="H18" s="4">
        <v>1</v>
      </c>
      <c r="I18" s="4">
        <v>1</v>
      </c>
      <c r="J18" s="4">
        <v>1</v>
      </c>
      <c r="K18" s="4">
        <v>1</v>
      </c>
      <c r="L18" s="4">
        <v>1</v>
      </c>
      <c r="M18" s="4">
        <v>1</v>
      </c>
      <c r="N18" s="4">
        <v>1</v>
      </c>
      <c r="O18" s="4">
        <v>1</v>
      </c>
      <c r="P18" s="4">
        <v>1</v>
      </c>
      <c r="Q18" s="4">
        <v>1</v>
      </c>
      <c r="R18" s="4">
        <v>1</v>
      </c>
      <c r="S18" s="4">
        <v>1</v>
      </c>
      <c r="T18" s="4">
        <f>SUM(B18:S18)</f>
        <v>18</v>
      </c>
      <c r="U18" s="4">
        <v>1</v>
      </c>
      <c r="V18" s="4"/>
      <c r="W18" s="4">
        <f>(SUM(B18:S18)/18)*6+1</f>
        <v>7</v>
      </c>
      <c r="X18" s="4"/>
      <c r="Y18" s="4"/>
      <c r="Z18" s="7">
        <f>+Tabla_1[[#This Row],[Nota]]-Tabla_1[[#This Row],[Descuento]]</f>
        <v>7</v>
      </c>
      <c r="AA18" s="4"/>
      <c r="AB18" s="4">
        <v>7</v>
      </c>
      <c r="AC18" s="4" t="s">
        <v>25</v>
      </c>
    </row>
    <row r="19" spans="1:29" ht="22.5" customHeight="1" x14ac:dyDescent="0.25">
      <c r="A19" s="4" t="s">
        <v>54</v>
      </c>
      <c r="B19" s="4">
        <v>1</v>
      </c>
      <c r="C19" s="4">
        <v>1</v>
      </c>
      <c r="D19" s="4">
        <v>1</v>
      </c>
      <c r="E19" s="4">
        <v>1</v>
      </c>
      <c r="F19" s="4">
        <v>1</v>
      </c>
      <c r="G19" s="4">
        <v>1</v>
      </c>
      <c r="H19" s="4">
        <v>1</v>
      </c>
      <c r="I19" s="4">
        <v>1</v>
      </c>
      <c r="J19" s="4">
        <v>1</v>
      </c>
      <c r="K19" s="4">
        <v>0</v>
      </c>
      <c r="L19" s="4">
        <v>0</v>
      </c>
      <c r="M19" s="4">
        <v>0</v>
      </c>
      <c r="N19" s="4">
        <v>0</v>
      </c>
      <c r="O19" s="4">
        <v>0</v>
      </c>
      <c r="P19" s="4">
        <v>0</v>
      </c>
      <c r="Q19" s="4">
        <v>0</v>
      </c>
      <c r="R19" s="4">
        <v>0</v>
      </c>
      <c r="S19" s="4">
        <v>0</v>
      </c>
      <c r="T19" s="4">
        <f>SUM(B19:S19)</f>
        <v>9</v>
      </c>
      <c r="U19" s="4">
        <v>0</v>
      </c>
      <c r="V19" s="4"/>
      <c r="W19" s="4">
        <f>(SUM(B19:S19)/18)*6+1</f>
        <v>4</v>
      </c>
      <c r="X19" s="4"/>
      <c r="Y19" s="4"/>
      <c r="Z19" s="7">
        <f>+Tabla_1[[#This Row],[Nota]]-Tabla_1[[#This Row],[Descuento]]</f>
        <v>4</v>
      </c>
      <c r="AA19" s="4"/>
      <c r="AB19" s="4">
        <v>4</v>
      </c>
      <c r="AC19" s="4" t="s">
        <v>55</v>
      </c>
    </row>
    <row r="20" spans="1:29" ht="22.5" customHeight="1" x14ac:dyDescent="0.25">
      <c r="A20" s="4" t="s">
        <v>29</v>
      </c>
      <c r="B20" s="4">
        <v>1</v>
      </c>
      <c r="C20" s="4">
        <v>1</v>
      </c>
      <c r="D20" s="4">
        <v>1</v>
      </c>
      <c r="E20" s="4">
        <v>1</v>
      </c>
      <c r="F20" s="4">
        <v>1</v>
      </c>
      <c r="G20" s="4">
        <v>1</v>
      </c>
      <c r="H20" s="4">
        <v>1</v>
      </c>
      <c r="I20" s="4">
        <v>1</v>
      </c>
      <c r="J20" s="4">
        <v>1</v>
      </c>
      <c r="K20" s="4">
        <v>1</v>
      </c>
      <c r="L20" s="4">
        <v>1</v>
      </c>
      <c r="M20" s="4">
        <v>1</v>
      </c>
      <c r="N20" s="4">
        <v>1</v>
      </c>
      <c r="O20" s="4">
        <v>1</v>
      </c>
      <c r="P20" s="4">
        <v>1</v>
      </c>
      <c r="Q20" s="4">
        <v>1</v>
      </c>
      <c r="R20" s="4">
        <v>1</v>
      </c>
      <c r="S20" s="4">
        <v>1</v>
      </c>
      <c r="T20" s="4">
        <f>SUM(B20:S20)</f>
        <v>18</v>
      </c>
      <c r="U20" s="4">
        <v>1</v>
      </c>
      <c r="V20" s="4"/>
      <c r="W20" s="4">
        <f>(SUM(B20:S20)/18)*6+1</f>
        <v>7</v>
      </c>
      <c r="X20" s="4"/>
      <c r="Y20" s="4"/>
      <c r="Z20" s="7">
        <f>+Tabla_1[[#This Row],[Nota]]-Tabla_1[[#This Row],[Descuento]]</f>
        <v>7</v>
      </c>
      <c r="AA20" s="4"/>
      <c r="AB20" s="4">
        <v>7</v>
      </c>
      <c r="AC20" s="4" t="s">
        <v>30</v>
      </c>
    </row>
    <row r="21" spans="1:29" ht="22.5" customHeight="1" x14ac:dyDescent="0.25">
      <c r="A21" s="5" t="s">
        <v>56</v>
      </c>
      <c r="B21" s="5"/>
      <c r="C21" s="5"/>
      <c r="D21" s="5"/>
      <c r="E21" s="5"/>
      <c r="F21" s="5"/>
      <c r="G21" s="5"/>
      <c r="H21" s="5"/>
      <c r="I21" s="5"/>
      <c r="J21" s="5"/>
      <c r="K21" s="5"/>
      <c r="L21" s="5"/>
      <c r="M21" s="5"/>
      <c r="N21" s="5"/>
      <c r="O21" s="5"/>
      <c r="P21" s="5"/>
      <c r="Q21" s="5"/>
      <c r="R21" s="5"/>
      <c r="S21" s="5"/>
      <c r="T21" s="5">
        <f>SUM(B21:S21)</f>
        <v>0</v>
      </c>
      <c r="U21" s="5"/>
      <c r="V21" s="5"/>
      <c r="W21" s="5">
        <f>(SUM(B21:S21)/18)*6+1</f>
        <v>1</v>
      </c>
      <c r="X21" s="5"/>
      <c r="Y21" s="5"/>
      <c r="Z21" s="8">
        <f>+Tabla_1[[#This Row],[Nota]]-Tabla_1[[#This Row],[Descuento]]</f>
        <v>1</v>
      </c>
      <c r="AA21" s="5"/>
      <c r="AB21" s="5"/>
      <c r="AC21" s="5"/>
    </row>
    <row r="22" spans="1:29" ht="22.5" customHeight="1" x14ac:dyDescent="0.25">
      <c r="A22" s="4" t="s">
        <v>35</v>
      </c>
      <c r="B22" s="4">
        <v>1</v>
      </c>
      <c r="C22" s="4">
        <v>1</v>
      </c>
      <c r="D22" s="4">
        <v>1</v>
      </c>
      <c r="E22" s="4">
        <v>1</v>
      </c>
      <c r="F22" s="4">
        <v>1</v>
      </c>
      <c r="G22" s="4">
        <v>1</v>
      </c>
      <c r="H22" s="4">
        <v>1</v>
      </c>
      <c r="I22" s="4">
        <v>1</v>
      </c>
      <c r="J22" s="4">
        <v>1</v>
      </c>
      <c r="K22" s="4">
        <v>1</v>
      </c>
      <c r="L22" s="4">
        <v>1</v>
      </c>
      <c r="M22" s="4">
        <v>0.8</v>
      </c>
      <c r="N22" s="4">
        <v>0.8</v>
      </c>
      <c r="O22" s="4">
        <v>1</v>
      </c>
      <c r="P22" s="4">
        <v>1</v>
      </c>
      <c r="Q22" s="4">
        <v>1</v>
      </c>
      <c r="R22" s="4">
        <v>1</v>
      </c>
      <c r="S22" s="4">
        <v>0.8</v>
      </c>
      <c r="T22" s="4">
        <f>SUM(B22:S22)</f>
        <v>17.400000000000002</v>
      </c>
      <c r="U22" s="4">
        <v>1</v>
      </c>
      <c r="V22" s="4"/>
      <c r="W22" s="4">
        <f>(SUM(B22:S22)/18)*6+1</f>
        <v>6.8000000000000007</v>
      </c>
      <c r="X22" s="4"/>
      <c r="Y22" s="4"/>
      <c r="Z22" s="7">
        <f>+Tabla_1[[#This Row],[Nota]]-Tabla_1[[#This Row],[Descuento]]</f>
        <v>6.8000000000000007</v>
      </c>
      <c r="AA22" s="4"/>
      <c r="AB22" s="4">
        <v>7</v>
      </c>
      <c r="AC22" s="4" t="s">
        <v>36</v>
      </c>
    </row>
    <row r="23" spans="1:29" ht="22.5" customHeight="1" x14ac:dyDescent="0.25">
      <c r="A23" s="4" t="s">
        <v>26</v>
      </c>
      <c r="B23" s="4">
        <v>1</v>
      </c>
      <c r="C23" s="4">
        <v>1</v>
      </c>
      <c r="D23" s="4">
        <v>1</v>
      </c>
      <c r="E23" s="4">
        <v>1</v>
      </c>
      <c r="F23" s="4">
        <v>1</v>
      </c>
      <c r="G23" s="4">
        <v>1</v>
      </c>
      <c r="H23" s="4">
        <v>1</v>
      </c>
      <c r="I23" s="4">
        <v>1</v>
      </c>
      <c r="J23" s="4">
        <v>1</v>
      </c>
      <c r="K23" s="4">
        <v>1</v>
      </c>
      <c r="L23" s="4">
        <v>1</v>
      </c>
      <c r="M23" s="4">
        <v>1</v>
      </c>
      <c r="N23" s="4">
        <v>1</v>
      </c>
      <c r="O23" s="4">
        <v>1</v>
      </c>
      <c r="P23" s="4">
        <v>1</v>
      </c>
      <c r="Q23" s="4">
        <v>1</v>
      </c>
      <c r="R23" s="4">
        <v>1</v>
      </c>
      <c r="S23" s="4">
        <v>1</v>
      </c>
      <c r="T23" s="4">
        <f>SUM(B23:S23)</f>
        <v>18</v>
      </c>
      <c r="U23" s="4">
        <v>1</v>
      </c>
      <c r="V23" s="4"/>
      <c r="W23" s="4">
        <f>(SUM(B23:S23)/18)*6+1</f>
        <v>7</v>
      </c>
      <c r="X23" s="4"/>
      <c r="Y23" s="4"/>
      <c r="Z23" s="7">
        <f>+Tabla_1[[#This Row],[Nota]]-Tabla_1[[#This Row],[Descuento]]</f>
        <v>7</v>
      </c>
      <c r="AA23" s="4"/>
      <c r="AB23" s="4">
        <v>7</v>
      </c>
      <c r="AC23" s="4" t="s">
        <v>25</v>
      </c>
    </row>
    <row r="24" spans="1:29" ht="22.5" customHeight="1" x14ac:dyDescent="0.25">
      <c r="A24" s="4" t="s">
        <v>38</v>
      </c>
      <c r="B24" s="4">
        <v>1</v>
      </c>
      <c r="C24" s="4">
        <v>1</v>
      </c>
      <c r="D24" s="4">
        <v>1</v>
      </c>
      <c r="E24" s="4">
        <v>1</v>
      </c>
      <c r="F24" s="4">
        <v>1</v>
      </c>
      <c r="G24" s="4">
        <v>1</v>
      </c>
      <c r="H24" s="4">
        <v>1</v>
      </c>
      <c r="I24" s="4">
        <v>1</v>
      </c>
      <c r="J24" s="4">
        <v>1</v>
      </c>
      <c r="K24" s="4">
        <v>1</v>
      </c>
      <c r="L24" s="4">
        <v>1</v>
      </c>
      <c r="M24" s="4">
        <v>1</v>
      </c>
      <c r="N24" s="4">
        <v>1</v>
      </c>
      <c r="O24" s="4">
        <v>1</v>
      </c>
      <c r="P24" s="4">
        <v>1</v>
      </c>
      <c r="Q24" s="4">
        <v>1</v>
      </c>
      <c r="R24" s="4">
        <v>1</v>
      </c>
      <c r="S24" s="4">
        <v>1</v>
      </c>
      <c r="T24" s="4">
        <f>SUM(B24:S24)</f>
        <v>18</v>
      </c>
      <c r="U24" s="4">
        <v>1</v>
      </c>
      <c r="V24" s="4"/>
      <c r="W24" s="4">
        <f>(SUM(B24:S24)/18)*6+1</f>
        <v>7</v>
      </c>
      <c r="X24" s="4"/>
      <c r="Y24" s="4"/>
      <c r="Z24" s="7">
        <f>+Tabla_1[[#This Row],[Nota]]-Tabla_1[[#This Row],[Descuento]]</f>
        <v>7</v>
      </c>
      <c r="AA24" s="4"/>
      <c r="AB24" s="4">
        <v>7</v>
      </c>
      <c r="AC24" s="4" t="s">
        <v>25</v>
      </c>
    </row>
    <row r="25" spans="1:29" ht="22.5" customHeight="1" x14ac:dyDescent="0.25">
      <c r="A25" s="4" t="s">
        <v>57</v>
      </c>
      <c r="B25" s="4">
        <v>1</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f>SUM(B25:S25)</f>
        <v>1</v>
      </c>
      <c r="U25" s="4">
        <v>0</v>
      </c>
      <c r="V25" s="4"/>
      <c r="W25" s="4">
        <f>(SUM(B25:S25)/18)*6+1</f>
        <v>1.3333333333333333</v>
      </c>
      <c r="X25" s="4"/>
      <c r="Y25" s="4"/>
      <c r="Z25" s="7">
        <f>+Tabla_1[[#This Row],[Nota]]-Tabla_1[[#This Row],[Descuento]]</f>
        <v>1.3333333333333333</v>
      </c>
      <c r="AA25" s="4"/>
      <c r="AB25" s="4">
        <v>1.3</v>
      </c>
      <c r="AC25" s="4" t="s">
        <v>58</v>
      </c>
    </row>
    <row r="26" spans="1:29" ht="22.5" customHeight="1" x14ac:dyDescent="0.25">
      <c r="A26" s="4" t="s">
        <v>59</v>
      </c>
      <c r="B26" s="4">
        <v>1</v>
      </c>
      <c r="C26" s="4">
        <v>1</v>
      </c>
      <c r="D26" s="4">
        <v>1</v>
      </c>
      <c r="E26" s="4">
        <v>1</v>
      </c>
      <c r="F26" s="4">
        <v>1</v>
      </c>
      <c r="G26" s="4">
        <v>1</v>
      </c>
      <c r="H26" s="4">
        <v>1</v>
      </c>
      <c r="I26" s="4">
        <v>1</v>
      </c>
      <c r="J26" s="4">
        <v>1</v>
      </c>
      <c r="K26" s="4">
        <v>1</v>
      </c>
      <c r="L26" s="4">
        <v>1</v>
      </c>
      <c r="M26" s="4">
        <v>1</v>
      </c>
      <c r="N26" s="4">
        <v>1</v>
      </c>
      <c r="O26" s="4">
        <v>1</v>
      </c>
      <c r="P26" s="4">
        <v>1</v>
      </c>
      <c r="Q26" s="4">
        <v>1</v>
      </c>
      <c r="R26" s="4">
        <v>1</v>
      </c>
      <c r="S26" s="4">
        <v>1</v>
      </c>
      <c r="T26" s="4">
        <f>SUM(B26:S26)</f>
        <v>18</v>
      </c>
      <c r="U26" s="4">
        <v>1</v>
      </c>
      <c r="V26" s="4"/>
      <c r="W26" s="4">
        <f>(SUM(B26:S26)/18)*6+1</f>
        <v>7</v>
      </c>
      <c r="X26" s="4"/>
      <c r="Y26" s="4"/>
      <c r="Z26" s="7">
        <f>+Tabla_1[[#This Row],[Nota]]-Tabla_1[[#This Row],[Descuento]]</f>
        <v>7</v>
      </c>
      <c r="AA26" s="4"/>
      <c r="AB26" s="4">
        <v>7</v>
      </c>
      <c r="AC26" s="4" t="s">
        <v>49</v>
      </c>
    </row>
    <row r="27" spans="1:29" ht="22.5" customHeight="1" x14ac:dyDescent="0.25">
      <c r="A27" s="4" t="s">
        <v>27</v>
      </c>
      <c r="B27" s="4">
        <v>1</v>
      </c>
      <c r="C27" s="4">
        <v>1</v>
      </c>
      <c r="D27" s="4">
        <v>1</v>
      </c>
      <c r="E27" s="4">
        <v>1</v>
      </c>
      <c r="F27" s="4">
        <v>1</v>
      </c>
      <c r="G27" s="4">
        <v>1</v>
      </c>
      <c r="H27" s="4">
        <v>1</v>
      </c>
      <c r="I27" s="4">
        <v>0.8</v>
      </c>
      <c r="J27" s="4">
        <v>0.8</v>
      </c>
      <c r="K27" s="4">
        <v>1</v>
      </c>
      <c r="L27" s="4">
        <v>1</v>
      </c>
      <c r="M27" s="4">
        <v>1</v>
      </c>
      <c r="N27" s="4">
        <v>1</v>
      </c>
      <c r="O27" s="4">
        <v>1</v>
      </c>
      <c r="P27" s="4">
        <v>1</v>
      </c>
      <c r="Q27" s="4">
        <v>1</v>
      </c>
      <c r="R27" s="4">
        <v>0.8</v>
      </c>
      <c r="S27" s="4">
        <v>0.8</v>
      </c>
      <c r="T27" s="4">
        <f>SUM(B27:S27)</f>
        <v>17.2</v>
      </c>
      <c r="U27" s="4">
        <v>0</v>
      </c>
      <c r="V27" s="4"/>
      <c r="W27" s="4">
        <f>(SUM(B27:S27)/18)*6+1</f>
        <v>6.7333333333333325</v>
      </c>
      <c r="X27" s="4"/>
      <c r="Y27" s="4"/>
      <c r="Z27" s="7">
        <f>+Tabla_1[[#This Row],[Nota]]-Tabla_1[[#This Row],[Descuento]]</f>
        <v>6.7333333333333325</v>
      </c>
      <c r="AA27" s="4"/>
      <c r="AB27" s="4">
        <v>6.7</v>
      </c>
      <c r="AC27" s="4" t="s">
        <v>28</v>
      </c>
    </row>
    <row r="28" spans="1:29" ht="22.5" customHeight="1" x14ac:dyDescent="0.25">
      <c r="A28" s="4" t="s">
        <v>70</v>
      </c>
      <c r="B28" s="4">
        <v>1</v>
      </c>
      <c r="C28" s="4">
        <v>1</v>
      </c>
      <c r="D28" s="4">
        <v>1</v>
      </c>
      <c r="E28" s="4">
        <v>1</v>
      </c>
      <c r="F28" s="4">
        <v>1</v>
      </c>
      <c r="G28" s="4">
        <v>1</v>
      </c>
      <c r="H28" s="4">
        <v>1</v>
      </c>
      <c r="I28" s="4">
        <v>1</v>
      </c>
      <c r="J28" s="4">
        <v>1</v>
      </c>
      <c r="K28" s="4">
        <v>1</v>
      </c>
      <c r="L28" s="4">
        <v>1</v>
      </c>
      <c r="M28" s="4">
        <v>1</v>
      </c>
      <c r="N28" s="4">
        <v>1</v>
      </c>
      <c r="O28" s="4">
        <v>1</v>
      </c>
      <c r="P28" s="4">
        <v>1</v>
      </c>
      <c r="Q28" s="4">
        <v>1</v>
      </c>
      <c r="R28" s="4">
        <v>1</v>
      </c>
      <c r="S28" s="4">
        <v>1</v>
      </c>
      <c r="T28" s="4">
        <v>1</v>
      </c>
      <c r="U28" s="4">
        <v>1</v>
      </c>
      <c r="V28" s="4"/>
      <c r="W28" s="4">
        <f>(SUM(B28:S28)/18)*6+1</f>
        <v>7</v>
      </c>
      <c r="X28" s="4"/>
      <c r="Y28" s="4"/>
      <c r="Z28" s="7">
        <f>+Tabla_1[[#This Row],[Nota]]-Tabla_1[[#This Row],[Descuento]]</f>
        <v>7</v>
      </c>
      <c r="AA28" s="4"/>
      <c r="AB28" s="4">
        <v>7</v>
      </c>
      <c r="AC28" s="4" t="s">
        <v>25</v>
      </c>
    </row>
    <row r="29" spans="1:29" ht="22.5" customHeight="1" x14ac:dyDescent="0.25">
      <c r="A29" s="5" t="s">
        <v>66</v>
      </c>
      <c r="B29" s="5">
        <v>0</v>
      </c>
      <c r="C29" s="5">
        <v>0</v>
      </c>
      <c r="D29" s="5">
        <v>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c r="W29" s="5">
        <f>(SUM(B29:S29)/18)*6+1</f>
        <v>1</v>
      </c>
      <c r="X29" s="5"/>
      <c r="Y29" s="5"/>
      <c r="Z29" s="8">
        <f>+Tabla_1[[#This Row],[Nota]]-Tabla_1[[#This Row],[Descuento]]</f>
        <v>1</v>
      </c>
      <c r="AA29" s="5"/>
      <c r="AB29" s="5"/>
      <c r="AC29" s="5"/>
    </row>
    <row r="30" spans="1:29" ht="22.5" customHeight="1" x14ac:dyDescent="0.25">
      <c r="A30" s="4" t="s">
        <v>60</v>
      </c>
      <c r="B30" s="4">
        <v>1</v>
      </c>
      <c r="C30" s="4">
        <v>1</v>
      </c>
      <c r="D30" s="4">
        <v>1</v>
      </c>
      <c r="E30" s="4">
        <v>1</v>
      </c>
      <c r="F30" s="4">
        <v>1</v>
      </c>
      <c r="G30" s="4">
        <v>1</v>
      </c>
      <c r="H30" s="4">
        <v>1</v>
      </c>
      <c r="I30" s="4">
        <v>1</v>
      </c>
      <c r="J30" s="4">
        <v>1</v>
      </c>
      <c r="K30" s="4">
        <v>1</v>
      </c>
      <c r="L30" s="4">
        <v>1</v>
      </c>
      <c r="M30" s="4">
        <v>1</v>
      </c>
      <c r="N30" s="4">
        <v>1</v>
      </c>
      <c r="O30" s="4">
        <v>1</v>
      </c>
      <c r="P30" s="4">
        <v>1</v>
      </c>
      <c r="Q30" s="4">
        <v>1</v>
      </c>
      <c r="R30" s="4">
        <v>1</v>
      </c>
      <c r="S30" s="4">
        <v>1</v>
      </c>
      <c r="T30" s="4">
        <f>SUM(B30:S30)</f>
        <v>18</v>
      </c>
      <c r="U30" s="4">
        <v>1</v>
      </c>
      <c r="V30" s="4"/>
      <c r="W30" s="4">
        <f>(SUM(B30:S30)/18)*6+1</f>
        <v>7</v>
      </c>
      <c r="X30" s="4"/>
      <c r="Y30" s="4"/>
      <c r="Z30" s="7">
        <f>+Tabla_1[[#This Row],[Nota]]-Tabla_1[[#This Row],[Descuento]]</f>
        <v>7</v>
      </c>
      <c r="AA30" s="4"/>
      <c r="AB30" s="4">
        <v>7</v>
      </c>
      <c r="AC30" s="4" t="s">
        <v>25</v>
      </c>
    </row>
  </sheetData>
  <conditionalFormatting sqref="AB2:AB30">
    <cfRule type="cellIs" dxfId="4" priority="3" operator="greaterThanOrEqual">
      <formula>4</formula>
    </cfRule>
    <cfRule type="cellIs" dxfId="3" priority="4" operator="lessThan">
      <formula>4</formula>
    </cfRule>
  </conditionalFormatting>
  <conditionalFormatting sqref="Z2:Z30">
    <cfRule type="cellIs" dxfId="2" priority="1" operator="greaterThanOrEqual">
      <formula>4</formula>
    </cfRule>
    <cfRule type="cellIs" dxfId="1" priority="2" operator="lessThan">
      <formula>4</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Duarte</dc:creator>
  <cp:lastModifiedBy>Gabriel Duarte</cp:lastModifiedBy>
  <dcterms:created xsi:type="dcterms:W3CDTF">2026-07-07T03:31:35Z</dcterms:created>
  <dcterms:modified xsi:type="dcterms:W3CDTF">2026-07-07T03:31:35Z</dcterms:modified>
</cp:coreProperties>
</file>